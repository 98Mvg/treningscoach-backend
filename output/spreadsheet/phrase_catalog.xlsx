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Catalog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1E7145"/>
      <name val="Calibri"/>
      <family val="2"/>
    </font>
    <font>
      <sz val="11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168"/>
  <sheetViews>
    <sheetView workbookViewId="0">
      <pane ySplit="1" topLeftCell="A2" activePane="bottomLeft" state="frozen"/>
    </sheetView>
  </sheetViews>
  <sheetFormatPr defaultRowHeight="20"/>
  <cols>
    <col min="1" max="1" width="8.0" customWidth="1"/>
    <col min="2" max="2" width="34.0" customWidth="1"/>
    <col min="3" max="3" width="20.0" customWidth="1"/>
    <col min="4" max="4" width="24.0" customWidth="1"/>
    <col min="5" max="5" width="18.0" customWidth="1"/>
    <col min="6" max="6" width="10.0" customWidth="1"/>
    <col min="7" max="7" width="54.0" customWidth="1"/>
    <col min="8" max="8" width="54.0" customWidth="1"/>
    <col min="9" max="9" width="10.0" customWidth="1"/>
    <col min="10" max="10" width="10.0" customWidth="1"/>
    <col min="11" max="11" width="10.0" customWidth="1"/>
    <col min="12" max="12" width="10.0" customWidth="1"/>
    <col min="13" max="13" width="10.0" customWidth="1"/>
    <col min="14" max="14" width="10.0" customWidth="1"/>
    <col min="15" max="15" width="12.0" customWidth="1"/>
    <col min="16" max="16" width="16.0" customWidth="1"/>
    <col min="17" max="17" width="30.0" customWidth="1"/>
    <col min="18" max="18" width="14.0" customWidth="1"/>
  </cols>
  <sheetData>
    <row r="1" ht="24" customHeight="1">
      <c r="A1" s="1" t="inlineStr">
        <is>
          <t xml:space="preserve">index</t>
        </is>
      </c>
      <c r="B1" s="1" t="inlineStr">
        <is>
          <t xml:space="preserve">id</t>
        </is>
      </c>
      <c r="C1" s="1" t="inlineStr">
        <is>
          <t xml:space="preserve">section</t>
        </is>
      </c>
      <c r="D1" s="1" t="inlineStr">
        <is>
          <t xml:space="preserve">bucket</t>
        </is>
      </c>
      <c r="E1" s="1" t="inlineStr">
        <is>
          <t xml:space="preserve">persona</t>
        </is>
      </c>
      <c r="F1" s="1" t="inlineStr">
        <is>
          <t xml:space="preserve">priority</t>
        </is>
      </c>
      <c r="G1" s="1" t="inlineStr">
        <is>
          <t xml:space="preserve">en</t>
        </is>
      </c>
      <c r="H1" s="1" t="inlineStr">
        <is>
          <t xml:space="preserve">no</t>
        </is>
      </c>
      <c r="I1" s="1" t="inlineStr">
        <is>
          <t xml:space="preserve">en_words</t>
        </is>
      </c>
      <c r="J1" s="1" t="inlineStr">
        <is>
          <t xml:space="preserve">no_words</t>
        </is>
      </c>
      <c r="K1" s="1" t="inlineStr">
        <is>
          <t xml:space="preserve">en_chars</t>
        </is>
      </c>
      <c r="L1" s="1" t="inlineStr">
        <is>
          <t xml:space="preserve">no_chars</t>
        </is>
      </c>
      <c r="M1" s="1" t="inlineStr">
        <is>
          <t xml:space="preserve">dup_en</t>
        </is>
      </c>
      <c r="N1" s="1" t="inlineStr">
        <is>
          <t xml:space="preserve">dup_no</t>
        </is>
      </c>
      <c r="O1" s="1" t="inlineStr">
        <is>
          <t xml:space="preserve">section_ok</t>
        </is>
      </c>
      <c r="P1" s="1" t="inlineStr">
        <is>
          <t xml:space="preserve">review_status</t>
        </is>
      </c>
      <c r="Q1" s="1" t="inlineStr">
        <is>
          <t xml:space="preserve">notes</t>
        </is>
      </c>
      <c r="R1" s="1" t="inlineStr">
        <is>
          <t xml:space="preserve">action_needed</t>
        </is>
      </c>
    </row>
    <row r="2">
      <c r="A2" s="2">
        <v>119</v>
      </c>
      <c r="B2" s="2" t="inlineStr">
        <is>
          <t xml:space="preserve">breath.cooldown.1</t>
        </is>
      </c>
      <c r="C2" s="2" t="inlineStr">
        <is>
          <t xml:space="preserve">breath.cooldown</t>
        </is>
      </c>
      <c r="D2" s="2" t="inlineStr">
        <is>
          <t xml:space="preserve">breath.cooldown.1</t>
        </is>
      </c>
      <c r="E2" s="2" t="inlineStr">
        <is>
          <t xml:space="preserve">personal_trainer</t>
        </is>
      </c>
      <c r="F2" s="2" t="inlineStr">
        <is>
          <t xml:space="preserve">core</t>
        </is>
      </c>
      <c r="G2" s="2" t="inlineStr">
        <is>
          <t xml:space="preserve">Deep breath in... slow breath out.</t>
        </is>
      </c>
      <c r="H2" s="2" t="inlineStr">
        <is>
          <t xml:space="preserve">Dypt inn... sakte ut.</t>
        </is>
      </c>
      <c r="I2" s="3">
        <f>IF(LEN(TRIM(G2))=0,0,LEN(TRIM(G2))-LEN(SUBSTITUTE(TRIM(G2)," ",""))+1)</f>
      </c>
      <c r="J2" s="3">
        <f>IF(LEN(TRIM(H2))=0,0,LEN(TRIM(H2))-LEN(SUBSTITUTE(TRIM(H2)," ",""))+1)</f>
      </c>
      <c r="K2" s="3">
        <f>LEN(G2)</f>
      </c>
      <c r="L2" s="3">
        <f>LEN(H2)</f>
      </c>
      <c r="M2" s="3">
        <f>IF(COUNTIF($G:$G,G2)&gt;1,"DUP","")</f>
      </c>
      <c r="N2" s="3">
        <f>IF(COUNTIF($H:$H,H2)&gt;1,"DUP","")</f>
      </c>
      <c r="O2" s="3">
        <f>IF(LEFT(B2,LEN(C2))=C2,"OK","CHECK")</f>
      </c>
      <c r="P2" s="4" t="inlineStr">
        <is>
          <t xml:space="preserve">Review</t>
        </is>
      </c>
      <c r="Q2" s="4" t="inlineStr">
        <is>
          <t xml:space="preserve"/>
        </is>
      </c>
      <c r="R2" s="5">
        <f>IF(OR(M2="DUP",N2="DUP",O2="CHECK"),"CHECK","")</f>
      </c>
    </row>
    <row r="3">
      <c r="A3" s="2">
        <v>120</v>
      </c>
      <c r="B3" s="2" t="inlineStr">
        <is>
          <t xml:space="preserve">breath.cooldown.2</t>
        </is>
      </c>
      <c r="C3" s="2" t="inlineStr">
        <is>
          <t xml:space="preserve">breath.cooldown</t>
        </is>
      </c>
      <c r="D3" s="2" t="inlineStr">
        <is>
          <t xml:space="preserve">breath.cooldown.2</t>
        </is>
      </c>
      <c r="E3" s="2" t="inlineStr">
        <is>
          <t xml:space="preserve">personal_trainer</t>
        </is>
      </c>
      <c r="F3" s="2" t="inlineStr">
        <is>
          <t xml:space="preserve">core</t>
        </is>
      </c>
      <c r="G3" s="2" t="inlineStr">
        <is>
          <t xml:space="preserve">You earned this. Breathe deep.</t>
        </is>
      </c>
      <c r="H3" s="2" t="inlineStr">
        <is>
          <t xml:space="preserve">Du fortjente dette. Pust dypt.</t>
        </is>
      </c>
      <c r="I3" s="3">
        <f>IF(LEN(TRIM(G3))=0,0,LEN(TRIM(G3))-LEN(SUBSTITUTE(TRIM(G3)," ",""))+1)</f>
      </c>
      <c r="J3" s="3">
        <f>IF(LEN(TRIM(H3))=0,0,LEN(TRIM(H3))-LEN(SUBSTITUTE(TRIM(H3)," ",""))+1)</f>
      </c>
      <c r="K3" s="3">
        <f>LEN(G3)</f>
      </c>
      <c r="L3" s="3">
        <f>LEN(H3)</f>
      </c>
      <c r="M3" s="3">
        <f>IF(COUNTIF($G:$G,G3)&gt;1,"DUP","")</f>
      </c>
      <c r="N3" s="3">
        <f>IF(COUNTIF($H:$H,H3)&gt;1,"DUP","")</f>
      </c>
      <c r="O3" s="3">
        <f>IF(LEFT(B3,LEN(C3))=C3,"OK","CHECK")</f>
      </c>
      <c r="P3" s="4" t="inlineStr">
        <is>
          <t xml:space="preserve">Review</t>
        </is>
      </c>
      <c r="Q3" s="4" t="inlineStr">
        <is>
          <t xml:space="preserve"/>
        </is>
      </c>
      <c r="R3" s="5">
        <f>IF(OR(M3="DUP",N3="DUP",O3="CHECK"),"CHECK","")</f>
      </c>
    </row>
    <row r="4">
      <c r="A4" s="2">
        <v>121</v>
      </c>
      <c r="B4" s="2" t="inlineStr">
        <is>
          <t xml:space="preserve">breath.cooldown.3</t>
        </is>
      </c>
      <c r="C4" s="2" t="inlineStr">
        <is>
          <t xml:space="preserve">breath.cooldown</t>
        </is>
      </c>
      <c r="D4" s="2" t="inlineStr">
        <is>
          <t xml:space="preserve">breath.cooldown.3</t>
        </is>
      </c>
      <c r="E4" s="2" t="inlineStr">
        <is>
          <t xml:space="preserve">personal_trainer</t>
        </is>
      </c>
      <c r="F4" s="2" t="inlineStr">
        <is>
          <t xml:space="preserve">core</t>
        </is>
      </c>
      <c r="G4" s="2" t="inlineStr">
        <is>
          <t xml:space="preserve">Let your breathing return to normal.</t>
        </is>
      </c>
      <c r="H4" s="2" t="inlineStr">
        <is>
          <t xml:space="preserve">La pusten komme tilbake til normalt.</t>
        </is>
      </c>
      <c r="I4" s="3">
        <f>IF(LEN(TRIM(G4))=0,0,LEN(TRIM(G4))-LEN(SUBSTITUTE(TRIM(G4)," ",""))+1)</f>
      </c>
      <c r="J4" s="3">
        <f>IF(LEN(TRIM(H4))=0,0,LEN(TRIM(H4))-LEN(SUBSTITUTE(TRIM(H4)," ",""))+1)</f>
      </c>
      <c r="K4" s="3">
        <f>LEN(G4)</f>
      </c>
      <c r="L4" s="3">
        <f>LEN(H4)</f>
      </c>
      <c r="M4" s="3">
        <f>IF(COUNTIF($G:$G,G4)&gt;1,"DUP","")</f>
      </c>
      <c r="N4" s="3">
        <f>IF(COUNTIF($H:$H,H4)&gt;1,"DUP","")</f>
      </c>
      <c r="O4" s="3">
        <f>IF(LEFT(B4,LEN(C4))=C4,"OK","CHECK")</f>
      </c>
      <c r="P4" s="4" t="inlineStr">
        <is>
          <t xml:space="preserve">Review</t>
        </is>
      </c>
      <c r="Q4" s="4" t="inlineStr">
        <is>
          <t xml:space="preserve"/>
        </is>
      </c>
      <c r="R4" s="5">
        <f>IF(OR(M4="DUP",N4="DUP",O4="CHECK"),"CHECK","")</f>
      </c>
    </row>
    <row r="5">
      <c r="A5" s="2">
        <v>122</v>
      </c>
      <c r="B5" s="2" t="inlineStr">
        <is>
          <t xml:space="preserve">breath.cooldown.4</t>
        </is>
      </c>
      <c r="C5" s="2" t="inlineStr">
        <is>
          <t xml:space="preserve">breath.cooldown</t>
        </is>
      </c>
      <c r="D5" s="2" t="inlineStr">
        <is>
          <t xml:space="preserve">breath.cooldown.4</t>
        </is>
      </c>
      <c r="E5" s="2" t="inlineStr">
        <is>
          <t xml:space="preserve">personal_trainer</t>
        </is>
      </c>
      <c r="F5" s="2" t="inlineStr">
        <is>
          <t xml:space="preserve">core</t>
        </is>
      </c>
      <c r="G5" s="2" t="inlineStr">
        <is>
          <t xml:space="preserve">Relax everything. Just breathe.</t>
        </is>
      </c>
      <c r="H5" s="2" t="inlineStr">
        <is>
          <t xml:space="preserve">Slapp av alt. Bare pust.</t>
        </is>
      </c>
      <c r="I5" s="3">
        <f>IF(LEN(TRIM(G5))=0,0,LEN(TRIM(G5))-LEN(SUBSTITUTE(TRIM(G5)," ",""))+1)</f>
      </c>
      <c r="J5" s="3">
        <f>IF(LEN(TRIM(H5))=0,0,LEN(TRIM(H5))-LEN(SUBSTITUTE(TRIM(H5)," ",""))+1)</f>
      </c>
      <c r="K5" s="3">
        <f>LEN(G5)</f>
      </c>
      <c r="L5" s="3">
        <f>LEN(H5)</f>
      </c>
      <c r="M5" s="3">
        <f>IF(COUNTIF($G:$G,G5)&gt;1,"DUP","")</f>
      </c>
      <c r="N5" s="3">
        <f>IF(COUNTIF($H:$H,H5)&gt;1,"DUP","")</f>
      </c>
      <c r="O5" s="3">
        <f>IF(LEFT(B5,LEN(C5))=C5,"OK","CHECK")</f>
      </c>
      <c r="P5" s="4" t="inlineStr">
        <is>
          <t xml:space="preserve">Review</t>
        </is>
      </c>
      <c r="Q5" s="4" t="inlineStr">
        <is>
          <t xml:space="preserve"/>
        </is>
      </c>
      <c r="R5" s="5">
        <f>IF(OR(M5="DUP",N5="DUP",O5="CHECK"),"CHECK","")</f>
      </c>
    </row>
    <row r="6">
      <c r="A6" s="2">
        <v>123</v>
      </c>
      <c r="B6" s="2" t="inlineStr">
        <is>
          <t xml:space="preserve">breath.cooldown.5</t>
        </is>
      </c>
      <c r="C6" s="2" t="inlineStr">
        <is>
          <t xml:space="preserve">breath.cooldown</t>
        </is>
      </c>
      <c r="D6" s="2" t="inlineStr">
        <is>
          <t xml:space="preserve">breath.cooldown.5</t>
        </is>
      </c>
      <c r="E6" s="2" t="inlineStr">
        <is>
          <t xml:space="preserve">personal_trainer</t>
        </is>
      </c>
      <c r="F6" s="2" t="inlineStr">
        <is>
          <t xml:space="preserve">core</t>
        </is>
      </c>
      <c r="G6" s="2" t="inlineStr">
        <is>
          <t xml:space="preserve">Great session. Wind it down.</t>
        </is>
      </c>
      <c r="H6" s="2" t="inlineStr">
        <is>
          <t xml:space="preserve">Bra økt. Ro det ned.</t>
        </is>
      </c>
      <c r="I6" s="3">
        <f>IF(LEN(TRIM(G6))=0,0,LEN(TRIM(G6))-LEN(SUBSTITUTE(TRIM(G6)," ",""))+1)</f>
      </c>
      <c r="J6" s="3">
        <f>IF(LEN(TRIM(H6))=0,0,LEN(TRIM(H6))-LEN(SUBSTITUTE(TRIM(H6)," ",""))+1)</f>
      </c>
      <c r="K6" s="3">
        <f>LEN(G6)</f>
      </c>
      <c r="L6" s="3">
        <f>LEN(H6)</f>
      </c>
      <c r="M6" s="3">
        <f>IF(COUNTIF($G:$G,G6)&gt;1,"DUP","")</f>
      </c>
      <c r="N6" s="3">
        <f>IF(COUNTIF($H:$H,H6)&gt;1,"DUP","")</f>
      </c>
      <c r="O6" s="3">
        <f>IF(LEFT(B6,LEN(C6))=C6,"OK","CHECK")</f>
      </c>
      <c r="P6" s="4" t="inlineStr">
        <is>
          <t xml:space="preserve">Review</t>
        </is>
      </c>
      <c r="Q6" s="4" t="inlineStr">
        <is>
          <t xml:space="preserve"/>
        </is>
      </c>
      <c r="R6" s="5">
        <f>IF(OR(M6="DUP",N6="DUP",O6="CHECK"),"CHECK","")</f>
      </c>
    </row>
    <row r="7">
      <c r="A7" s="2">
        <v>109</v>
      </c>
      <c r="B7" s="2" t="inlineStr">
        <is>
          <t xml:space="preserve">breath.intense.1</t>
        </is>
      </c>
      <c r="C7" s="2" t="inlineStr">
        <is>
          <t xml:space="preserve">breath.intense</t>
        </is>
      </c>
      <c r="D7" s="2" t="inlineStr">
        <is>
          <t xml:space="preserve">breath.intense.1</t>
        </is>
      </c>
      <c r="E7" s="2" t="inlineStr">
        <is>
          <t xml:space="preserve">personal_trainer</t>
        </is>
      </c>
      <c r="F7" s="2" t="inlineStr">
        <is>
          <t xml:space="preserve">core</t>
        </is>
      </c>
      <c r="G7" s="2" t="inlineStr">
        <is>
          <t xml:space="preserve">Breathe through it.</t>
        </is>
      </c>
      <c r="H7" s="2" t="inlineStr">
        <is>
          <t xml:space="preserve">Pust gjennom det.</t>
        </is>
      </c>
      <c r="I7" s="3">
        <f>IF(LEN(TRIM(G7))=0,0,LEN(TRIM(G7))-LEN(SUBSTITUTE(TRIM(G7)," ",""))+1)</f>
      </c>
      <c r="J7" s="3">
        <f>IF(LEN(TRIM(H7))=0,0,LEN(TRIM(H7))-LEN(SUBSTITUTE(TRIM(H7)," ",""))+1)</f>
      </c>
      <c r="K7" s="3">
        <f>LEN(G7)</f>
      </c>
      <c r="L7" s="3">
        <f>LEN(H7)</f>
      </c>
      <c r="M7" s="3">
        <f>IF(COUNTIF($G:$G,G7)&gt;1,"DUP","")</f>
      </c>
      <c r="N7" s="3">
        <f>IF(COUNTIF($H:$H,H7)&gt;1,"DUP","")</f>
      </c>
      <c r="O7" s="3">
        <f>IF(LEFT(B7,LEN(C7))=C7,"OK","CHECK")</f>
      </c>
      <c r="P7" s="4" t="inlineStr">
        <is>
          <t xml:space="preserve">Review</t>
        </is>
      </c>
      <c r="Q7" s="4" t="inlineStr">
        <is>
          <t xml:space="preserve"/>
        </is>
      </c>
      <c r="R7" s="5">
        <f>IF(OR(M7="DUP",N7="DUP",O7="CHECK"),"CHECK","")</f>
      </c>
    </row>
    <row r="8">
      <c r="A8" s="2">
        <v>110</v>
      </c>
      <c r="B8" s="2" t="inlineStr">
        <is>
          <t xml:space="preserve">breath.intense.2</t>
        </is>
      </c>
      <c r="C8" s="2" t="inlineStr">
        <is>
          <t xml:space="preserve">breath.intense</t>
        </is>
      </c>
      <c r="D8" s="2" t="inlineStr">
        <is>
          <t xml:space="preserve">breath.intense.2</t>
        </is>
      </c>
      <c r="E8" s="2" t="inlineStr">
        <is>
          <t xml:space="preserve">personal_trainer</t>
        </is>
      </c>
      <c r="F8" s="2" t="inlineStr">
        <is>
          <t xml:space="preserve">core</t>
        </is>
      </c>
      <c r="G8" s="2" t="inlineStr">
        <is>
          <t xml:space="preserve">Strong exhale. Power.</t>
        </is>
      </c>
      <c r="H8" s="2" t="inlineStr">
        <is>
          <t xml:space="preserve">Sterk utpust. Kraft.</t>
        </is>
      </c>
      <c r="I8" s="3">
        <f>IF(LEN(TRIM(G8))=0,0,LEN(TRIM(G8))-LEN(SUBSTITUTE(TRIM(G8)," ",""))+1)</f>
      </c>
      <c r="J8" s="3">
        <f>IF(LEN(TRIM(H8))=0,0,LEN(TRIM(H8))-LEN(SUBSTITUTE(TRIM(H8)," ",""))+1)</f>
      </c>
      <c r="K8" s="3">
        <f>LEN(G8)</f>
      </c>
      <c r="L8" s="3">
        <f>LEN(H8)</f>
      </c>
      <c r="M8" s="3">
        <f>IF(COUNTIF($G:$G,G8)&gt;1,"DUP","")</f>
      </c>
      <c r="N8" s="3">
        <f>IF(COUNTIF($H:$H,H8)&gt;1,"DUP","")</f>
      </c>
      <c r="O8" s="3">
        <f>IF(LEFT(B8,LEN(C8))=C8,"OK","CHECK")</f>
      </c>
      <c r="P8" s="4" t="inlineStr">
        <is>
          <t xml:space="preserve">Review</t>
        </is>
      </c>
      <c r="Q8" s="4" t="inlineStr">
        <is>
          <t xml:space="preserve"/>
        </is>
      </c>
      <c r="R8" s="5">
        <f>IF(OR(M8="DUP",N8="DUP",O8="CHECK"),"CHECK","")</f>
      </c>
    </row>
    <row r="9">
      <c r="A9" s="2">
        <v>111</v>
      </c>
      <c r="B9" s="2" t="inlineStr">
        <is>
          <t xml:space="preserve">breath.intense.3</t>
        </is>
      </c>
      <c r="C9" s="2" t="inlineStr">
        <is>
          <t xml:space="preserve">breath.intense</t>
        </is>
      </c>
      <c r="D9" s="2" t="inlineStr">
        <is>
          <t xml:space="preserve">breath.intense.3</t>
        </is>
      </c>
      <c r="E9" s="2" t="inlineStr">
        <is>
          <t xml:space="preserve">personal_trainer</t>
        </is>
      </c>
      <c r="F9" s="2" t="inlineStr">
        <is>
          <t xml:space="preserve">core</t>
        </is>
      </c>
      <c r="G9" s="2" t="inlineStr">
        <is>
          <t xml:space="preserve">Don't hold your breath.</t>
        </is>
      </c>
      <c r="H9" s="2" t="inlineStr">
        <is>
          <t xml:space="preserve">Ikke hold pusten.</t>
        </is>
      </c>
      <c r="I9" s="3">
        <f>IF(LEN(TRIM(G9))=0,0,LEN(TRIM(G9))-LEN(SUBSTITUTE(TRIM(G9)," ",""))+1)</f>
      </c>
      <c r="J9" s="3">
        <f>IF(LEN(TRIM(H9))=0,0,LEN(TRIM(H9))-LEN(SUBSTITUTE(TRIM(H9)," ",""))+1)</f>
      </c>
      <c r="K9" s="3">
        <f>LEN(G9)</f>
      </c>
      <c r="L9" s="3">
        <f>LEN(H9)</f>
      </c>
      <c r="M9" s="3">
        <f>IF(COUNTIF($G:$G,G9)&gt;1,"DUP","")</f>
      </c>
      <c r="N9" s="3">
        <f>IF(COUNTIF($H:$H,H9)&gt;1,"DUP","")</f>
      </c>
      <c r="O9" s="3">
        <f>IF(LEFT(B9,LEN(C9))=C9,"OK","CHECK")</f>
      </c>
      <c r="P9" s="4" t="inlineStr">
        <is>
          <t xml:space="preserve">Review</t>
        </is>
      </c>
      <c r="Q9" s="4" t="inlineStr">
        <is>
          <t xml:space="preserve"/>
        </is>
      </c>
      <c r="R9" s="5">
        <f>IF(OR(M9="DUP",N9="DUP",O9="CHECK"),"CHECK","")</f>
      </c>
    </row>
    <row r="10">
      <c r="A10" s="2">
        <v>112</v>
      </c>
      <c r="B10" s="2" t="inlineStr">
        <is>
          <t xml:space="preserve">breath.intense.4</t>
        </is>
      </c>
      <c r="C10" s="2" t="inlineStr">
        <is>
          <t xml:space="preserve">breath.intense</t>
        </is>
      </c>
      <c r="D10" s="2" t="inlineStr">
        <is>
          <t xml:space="preserve">breath.intense.4</t>
        </is>
      </c>
      <c r="E10" s="2" t="inlineStr">
        <is>
          <t xml:space="preserve">personal_trainer</t>
        </is>
      </c>
      <c r="F10" s="2" t="inlineStr">
        <is>
          <t xml:space="preserve">core</t>
        </is>
      </c>
      <c r="G10" s="2" t="inlineStr">
        <is>
          <t xml:space="preserve">Exhale on the effort.</t>
        </is>
      </c>
      <c r="H10" s="2" t="inlineStr">
        <is>
          <t xml:space="preserve">Pust ut på innsatsen.</t>
        </is>
      </c>
      <c r="I10" s="3">
        <f>IF(LEN(TRIM(G10))=0,0,LEN(TRIM(G10))-LEN(SUBSTITUTE(TRIM(G10)," ",""))+1)</f>
      </c>
      <c r="J10" s="3">
        <f>IF(LEN(TRIM(H10))=0,0,LEN(TRIM(H10))-LEN(SUBSTITUTE(TRIM(H10)," ",""))+1)</f>
      </c>
      <c r="K10" s="3">
        <f>LEN(G10)</f>
      </c>
      <c r="L10" s="3">
        <f>LEN(H10)</f>
      </c>
      <c r="M10" s="3">
        <f>IF(COUNTIF($G:$G,G10)&gt;1,"DUP","")</f>
      </c>
      <c r="N10" s="3">
        <f>IF(COUNTIF($H:$H,H10)&gt;1,"DUP","")</f>
      </c>
      <c r="O10" s="3">
        <f>IF(LEFT(B10,LEN(C10))=C10,"OK","CHECK")</f>
      </c>
      <c r="P10" s="4" t="inlineStr">
        <is>
          <t xml:space="preserve">Review</t>
        </is>
      </c>
      <c r="Q10" s="4" t="inlineStr">
        <is>
          <t xml:space="preserve"/>
        </is>
      </c>
      <c r="R10" s="5">
        <f>IF(OR(M10="DUP",N10="DUP",O10="CHECK"),"CHECK","")</f>
      </c>
    </row>
    <row r="11">
      <c r="A11" s="2">
        <v>113</v>
      </c>
      <c r="B11" s="2" t="inlineStr">
        <is>
          <t xml:space="preserve">breath.intense.5</t>
        </is>
      </c>
      <c r="C11" s="2" t="inlineStr">
        <is>
          <t xml:space="preserve">breath.intense</t>
        </is>
      </c>
      <c r="D11" s="2" t="inlineStr">
        <is>
          <t xml:space="preserve">breath.intense.5</t>
        </is>
      </c>
      <c r="E11" s="2" t="inlineStr">
        <is>
          <t xml:space="preserve">personal_trainer</t>
        </is>
      </c>
      <c r="F11" s="2" t="inlineStr">
        <is>
          <t xml:space="preserve">core</t>
        </is>
      </c>
      <c r="G11" s="2" t="inlineStr">
        <is>
          <t xml:space="preserve">Keep breathing. Stay with it.</t>
        </is>
      </c>
      <c r="H11" s="2" t="inlineStr">
        <is>
          <t xml:space="preserve">Fortsett å puste. Hold deg i det.</t>
        </is>
      </c>
      <c r="I11" s="3">
        <f>IF(LEN(TRIM(G11))=0,0,LEN(TRIM(G11))-LEN(SUBSTITUTE(TRIM(G11)," ",""))+1)</f>
      </c>
      <c r="J11" s="3">
        <f>IF(LEN(TRIM(H11))=0,0,LEN(TRIM(H11))-LEN(SUBSTITUTE(TRIM(H11)," ",""))+1)</f>
      </c>
      <c r="K11" s="3">
        <f>LEN(G11)</f>
      </c>
      <c r="L11" s="3">
        <f>LEN(H11)</f>
      </c>
      <c r="M11" s="3">
        <f>IF(COUNTIF($G:$G,G11)&gt;1,"DUP","")</f>
      </c>
      <c r="N11" s="3">
        <f>IF(COUNTIF($H:$H,H11)&gt;1,"DUP","")</f>
      </c>
      <c r="O11" s="3">
        <f>IF(LEFT(B11,LEN(C11))=C11,"OK","CHECK")</f>
      </c>
      <c r="P11" s="4" t="inlineStr">
        <is>
          <t xml:space="preserve">Review</t>
        </is>
      </c>
      <c r="Q11" s="4" t="inlineStr">
        <is>
          <t xml:space="preserve"/>
        </is>
      </c>
      <c r="R11" s="5">
        <f>IF(OR(M11="DUP",N11="DUP",O11="CHECK"),"CHECK","")</f>
      </c>
    </row>
    <row r="12">
      <c r="A12" s="2">
        <v>124</v>
      </c>
      <c r="B12" s="2" t="inlineStr">
        <is>
          <t xml:space="preserve">breath.interrupt.cant_breathe.1</t>
        </is>
      </c>
      <c r="C12" s="2" t="inlineStr">
        <is>
          <t xml:space="preserve">breath.interrupt</t>
        </is>
      </c>
      <c r="D12" s="2" t="inlineStr">
        <is>
          <t xml:space="preserve">breath.interrupt.cant_breathe</t>
        </is>
      </c>
      <c r="E12" s="2" t="inlineStr">
        <is>
          <t xml:space="preserve">personal_trainer</t>
        </is>
      </c>
      <c r="F12" s="2" t="inlineStr">
        <is>
          <t xml:space="preserve">core</t>
        </is>
      </c>
      <c r="G12" s="2" t="inlineStr">
        <is>
          <t xml:space="preserve">That's okay. Slow way down. Breathe through your nose.</t>
        </is>
      </c>
      <c r="H12" s="2" t="inlineStr">
        <is>
          <t xml:space="preserve">Det er greit. Senk farten. Pust gjennom nesen.</t>
        </is>
      </c>
      <c r="I12" s="3">
        <f>IF(LEN(TRIM(G12))=0,0,LEN(TRIM(G12))-LEN(SUBSTITUTE(TRIM(G12)," ",""))+1)</f>
      </c>
      <c r="J12" s="3">
        <f>IF(LEN(TRIM(H12))=0,0,LEN(TRIM(H12))-LEN(SUBSTITUTE(TRIM(H12)," ",""))+1)</f>
      </c>
      <c r="K12" s="3">
        <f>LEN(G12)</f>
      </c>
      <c r="L12" s="3">
        <f>LEN(H12)</f>
      </c>
      <c r="M12" s="3">
        <f>IF(COUNTIF($G:$G,G12)&gt;1,"DUP","")</f>
      </c>
      <c r="N12" s="3">
        <f>IF(COUNTIF($H:$H,H12)&gt;1,"DUP","")</f>
      </c>
      <c r="O12" s="3">
        <f>IF(LEFT(B12,LEN(C12))=C12,"OK","CHECK")</f>
      </c>
      <c r="P12" s="4" t="inlineStr">
        <is>
          <t xml:space="preserve">Review</t>
        </is>
      </c>
      <c r="Q12" s="4" t="inlineStr">
        <is>
          <t xml:space="preserve"/>
        </is>
      </c>
      <c r="R12" s="5">
        <f>IF(OR(M12="DUP",N12="DUP",O12="CHECK"),"CHECK","")</f>
      </c>
    </row>
    <row r="13">
      <c r="A13" s="2">
        <v>126</v>
      </c>
      <c r="B13" s="2" t="inlineStr">
        <is>
          <t xml:space="preserve">breath.interrupt.dizzy.1</t>
        </is>
      </c>
      <c r="C13" s="2" t="inlineStr">
        <is>
          <t xml:space="preserve">breath.interrupt</t>
        </is>
      </c>
      <c r="D13" s="2" t="inlineStr">
        <is>
          <t xml:space="preserve">breath.interrupt.dizzy</t>
        </is>
      </c>
      <c r="E13" s="2" t="inlineStr">
        <is>
          <t xml:space="preserve">personal_trainer</t>
        </is>
      </c>
      <c r="F13" s="2" t="inlineStr">
        <is>
          <t xml:space="preserve">core</t>
        </is>
      </c>
      <c r="G13" s="2" t="inlineStr">
        <is>
          <t xml:space="preserve">Stop moving. Sit down if you need to. Slow nose breathing.</t>
        </is>
      </c>
      <c r="H13" s="2" t="inlineStr">
        <is>
          <t xml:space="preserve">Stopp. Sett deg ned om du trenger. Rolig nesepust.</t>
        </is>
      </c>
      <c r="I13" s="3">
        <f>IF(LEN(TRIM(G13))=0,0,LEN(TRIM(G13))-LEN(SUBSTITUTE(TRIM(G13)," ",""))+1)</f>
      </c>
      <c r="J13" s="3">
        <f>IF(LEN(TRIM(H13))=0,0,LEN(TRIM(H13))-LEN(SUBSTITUTE(TRIM(H13)," ",""))+1)</f>
      </c>
      <c r="K13" s="3">
        <f>LEN(G13)</f>
      </c>
      <c r="L13" s="3">
        <f>LEN(H13)</f>
      </c>
      <c r="M13" s="3">
        <f>IF(COUNTIF($G:$G,G13)&gt;1,"DUP","")</f>
      </c>
      <c r="N13" s="3">
        <f>IF(COUNTIF($H:$H,H13)&gt;1,"DUP","")</f>
      </c>
      <c r="O13" s="3">
        <f>IF(LEFT(B13,LEN(C13))=C13,"OK","CHECK")</f>
      </c>
      <c r="P13" s="4" t="inlineStr">
        <is>
          <t xml:space="preserve">Review</t>
        </is>
      </c>
      <c r="Q13" s="4" t="inlineStr">
        <is>
          <t xml:space="preserve"/>
        </is>
      </c>
      <c r="R13" s="5">
        <f>IF(OR(M13="DUP",N13="DUP",O13="CHECK"),"CHECK","")</f>
      </c>
    </row>
    <row r="14">
      <c r="A14" s="2">
        <v>125</v>
      </c>
      <c r="B14" s="2" t="inlineStr">
        <is>
          <t xml:space="preserve">breath.interrupt.slow_down.1</t>
        </is>
      </c>
      <c r="C14" s="2" t="inlineStr">
        <is>
          <t xml:space="preserve">breath.interrupt</t>
        </is>
      </c>
      <c r="D14" s="2" t="inlineStr">
        <is>
          <t xml:space="preserve">breath.interrupt.slow_down</t>
        </is>
      </c>
      <c r="E14" s="2" t="inlineStr">
        <is>
          <t xml:space="preserve">personal_trainer</t>
        </is>
      </c>
      <c r="F14" s="2" t="inlineStr">
        <is>
          <t xml:space="preserve">core</t>
        </is>
      </c>
      <c r="G14" s="2" t="inlineStr">
        <is>
          <t xml:space="preserve">Slowing down. Match my count. In... two... three...</t>
        </is>
      </c>
      <c r="H14" s="2" t="inlineStr">
        <is>
          <t xml:space="preserve">Vi senker tempoet. Følg tellingen. Inn... to... tre...</t>
        </is>
      </c>
      <c r="I14" s="3">
        <f>IF(LEN(TRIM(G14))=0,0,LEN(TRIM(G14))-LEN(SUBSTITUTE(TRIM(G14)," ",""))+1)</f>
      </c>
      <c r="J14" s="3">
        <f>IF(LEN(TRIM(H14))=0,0,LEN(TRIM(H14))-LEN(SUBSTITUTE(TRIM(H14)," ",""))+1)</f>
      </c>
      <c r="K14" s="3">
        <f>LEN(G14)</f>
      </c>
      <c r="L14" s="3">
        <f>LEN(H14)</f>
      </c>
      <c r="M14" s="3">
        <f>IF(COUNTIF($G:$G,G14)&gt;1,"DUP","")</f>
      </c>
      <c r="N14" s="3">
        <f>IF(COUNTIF($H:$H,H14)&gt;1,"DUP","")</f>
      </c>
      <c r="O14" s="3">
        <f>IF(LEFT(B14,LEN(C14))=C14,"OK","CHECK")</f>
      </c>
      <c r="P14" s="4" t="inlineStr">
        <is>
          <t xml:space="preserve">Review</t>
        </is>
      </c>
      <c r="Q14" s="4" t="inlineStr">
        <is>
          <t xml:space="preserve"/>
        </is>
      </c>
      <c r="R14" s="5">
        <f>IF(OR(M14="DUP",N14="DUP",O14="CHECK"),"CHECK","")</f>
      </c>
    </row>
    <row r="15">
      <c r="A15" s="2">
        <v>97</v>
      </c>
      <c r="B15" s="2" t="inlineStr">
        <is>
          <t xml:space="preserve">breath.prep.1</t>
        </is>
      </c>
      <c r="C15" s="2" t="inlineStr">
        <is>
          <t xml:space="preserve">breath.prep</t>
        </is>
      </c>
      <c r="D15" s="2" t="inlineStr">
        <is>
          <t xml:space="preserve">breath.prep.1</t>
        </is>
      </c>
      <c r="E15" s="2" t="inlineStr">
        <is>
          <t xml:space="preserve">personal_trainer</t>
        </is>
      </c>
      <c r="F15" s="2" t="inlineStr">
        <is>
          <t xml:space="preserve">core</t>
        </is>
      </c>
      <c r="G15" s="2" t="inlineStr">
        <is>
          <t xml:space="preserve">Alright, let's get ready.</t>
        </is>
      </c>
      <c r="H15" s="2" t="inlineStr">
        <is>
          <t xml:space="preserve">Greit, la oss gjøre oss klare.</t>
        </is>
      </c>
      <c r="I15" s="3">
        <f>IF(LEN(TRIM(G15))=0,0,LEN(TRIM(G15))-LEN(SUBSTITUTE(TRIM(G15)," ",""))+1)</f>
      </c>
      <c r="J15" s="3">
        <f>IF(LEN(TRIM(H15))=0,0,LEN(TRIM(H15))-LEN(SUBSTITUTE(TRIM(H15)," ",""))+1)</f>
      </c>
      <c r="K15" s="3">
        <f>LEN(G15)</f>
      </c>
      <c r="L15" s="3">
        <f>LEN(H15)</f>
      </c>
      <c r="M15" s="3">
        <f>IF(COUNTIF($G:$G,G15)&gt;1,"DUP","")</f>
      </c>
      <c r="N15" s="3">
        <f>IF(COUNTIF($H:$H,H15)&gt;1,"DUP","")</f>
      </c>
      <c r="O15" s="3">
        <f>IF(LEFT(B15,LEN(C15))=C15,"OK","CHECK")</f>
      </c>
      <c r="P15" s="4" t="inlineStr">
        <is>
          <t xml:space="preserve">Review</t>
        </is>
      </c>
      <c r="Q15" s="4" t="inlineStr">
        <is>
          <t xml:space="preserve"/>
        </is>
      </c>
      <c r="R15" s="5">
        <f>IF(OR(M15="DUP",N15="DUP",O15="CHECK"),"CHECK","")</f>
      </c>
    </row>
    <row r="16">
      <c r="A16" s="2">
        <v>98</v>
      </c>
      <c r="B16" s="2" t="inlineStr">
        <is>
          <t xml:space="preserve">breath.prep.2</t>
        </is>
      </c>
      <c r="C16" s="2" t="inlineStr">
        <is>
          <t xml:space="preserve">breath.prep</t>
        </is>
      </c>
      <c r="D16" s="2" t="inlineStr">
        <is>
          <t xml:space="preserve">breath.prep.2</t>
        </is>
      </c>
      <c r="E16" s="2" t="inlineStr">
        <is>
          <t xml:space="preserve">personal_trainer</t>
        </is>
      </c>
      <c r="F16" s="2" t="inlineStr">
        <is>
          <t xml:space="preserve">core</t>
        </is>
      </c>
      <c r="G16" s="2" t="inlineStr">
        <is>
          <t xml:space="preserve">Drink some water if you need to.</t>
        </is>
      </c>
      <c r="H16" s="2" t="inlineStr">
        <is>
          <t xml:space="preserve">Drikk litt vann om du trenger.</t>
        </is>
      </c>
      <c r="I16" s="3">
        <f>IF(LEN(TRIM(G16))=0,0,LEN(TRIM(G16))-LEN(SUBSTITUTE(TRIM(G16)," ",""))+1)</f>
      </c>
      <c r="J16" s="3">
        <f>IF(LEN(TRIM(H16))=0,0,LEN(TRIM(H16))-LEN(SUBSTITUTE(TRIM(H16)," ",""))+1)</f>
      </c>
      <c r="K16" s="3">
        <f>LEN(G16)</f>
      </c>
      <c r="L16" s="3">
        <f>LEN(H16)</f>
      </c>
      <c r="M16" s="3">
        <f>IF(COUNTIF($G:$G,G16)&gt;1,"DUP","")</f>
      </c>
      <c r="N16" s="3">
        <f>IF(COUNTIF($H:$H,H16)&gt;1,"DUP","")</f>
      </c>
      <c r="O16" s="3">
        <f>IF(LEFT(B16,LEN(C16))=C16,"OK","CHECK")</f>
      </c>
      <c r="P16" s="4" t="inlineStr">
        <is>
          <t xml:space="preserve">Review</t>
        </is>
      </c>
      <c r="Q16" s="4" t="inlineStr">
        <is>
          <t xml:space="preserve"/>
        </is>
      </c>
      <c r="R16" s="5">
        <f>IF(OR(M16="DUP",N16="DUP",O16="CHECK"),"CHECK","")</f>
      </c>
    </row>
    <row r="17">
      <c r="A17" s="2">
        <v>99</v>
      </c>
      <c r="B17" s="2" t="inlineStr">
        <is>
          <t xml:space="preserve">breath.prep.3</t>
        </is>
      </c>
      <c r="C17" s="2" t="inlineStr">
        <is>
          <t xml:space="preserve">breath.prep</t>
        </is>
      </c>
      <c r="D17" s="2" t="inlineStr">
        <is>
          <t xml:space="preserve">breath.prep.3</t>
        </is>
      </c>
      <c r="E17" s="2" t="inlineStr">
        <is>
          <t xml:space="preserve">personal_trainer</t>
        </is>
      </c>
      <c r="F17" s="2" t="inlineStr">
        <is>
          <t xml:space="preserve">core</t>
        </is>
      </c>
      <c r="G17" s="2" t="inlineStr">
        <is>
          <t xml:space="preserve">Stretch out anything that feels tight.</t>
        </is>
      </c>
      <c r="H17" s="2" t="inlineStr">
        <is>
          <t xml:space="preserve">Tøy ut det som kjennes stramt.</t>
        </is>
      </c>
      <c r="I17" s="3">
        <f>IF(LEN(TRIM(G17))=0,0,LEN(TRIM(G17))-LEN(SUBSTITUTE(TRIM(G17)," ",""))+1)</f>
      </c>
      <c r="J17" s="3">
        <f>IF(LEN(TRIM(H17))=0,0,LEN(TRIM(H17))-LEN(SUBSTITUTE(TRIM(H17)," ",""))+1)</f>
      </c>
      <c r="K17" s="3">
        <f>LEN(G17)</f>
      </c>
      <c r="L17" s="3">
        <f>LEN(H17)</f>
      </c>
      <c r="M17" s="3">
        <f>IF(COUNTIF($G:$G,G17)&gt;1,"DUP","")</f>
      </c>
      <c r="N17" s="3">
        <f>IF(COUNTIF($H:$H,H17)&gt;1,"DUP","")</f>
      </c>
      <c r="O17" s="3">
        <f>IF(LEFT(B17,LEN(C17))=C17,"OK","CHECK")</f>
      </c>
      <c r="P17" s="4" t="inlineStr">
        <is>
          <t xml:space="preserve">Review</t>
        </is>
      </c>
      <c r="Q17" s="4" t="inlineStr">
        <is>
          <t xml:space="preserve"/>
        </is>
      </c>
      <c r="R17" s="5">
        <f>IF(OR(M17="DUP",N17="DUP",O17="CHECK"),"CHECK","")</f>
      </c>
    </row>
    <row r="18">
      <c r="A18" s="2">
        <v>100</v>
      </c>
      <c r="B18" s="2" t="inlineStr">
        <is>
          <t xml:space="preserve">breath.prep.4</t>
        </is>
      </c>
      <c r="C18" s="2" t="inlineStr">
        <is>
          <t xml:space="preserve">breath.prep</t>
        </is>
      </c>
      <c r="D18" s="2" t="inlineStr">
        <is>
          <t xml:space="preserve">breath.prep.4</t>
        </is>
      </c>
      <c r="E18" s="2" t="inlineStr">
        <is>
          <t xml:space="preserve">personal_trainer</t>
        </is>
      </c>
      <c r="F18" s="2" t="inlineStr">
        <is>
          <t xml:space="preserve">core</t>
        </is>
      </c>
      <c r="G18" s="2" t="inlineStr">
        <is>
          <t xml:space="preserve">We start in a moment. Take a deep breath.</t>
        </is>
      </c>
      <c r="H18" s="2" t="inlineStr">
        <is>
          <t xml:space="preserve">Vi starter snart. Ta et dypt pust.</t>
        </is>
      </c>
      <c r="I18" s="3">
        <f>IF(LEN(TRIM(G18))=0,0,LEN(TRIM(G18))-LEN(SUBSTITUTE(TRIM(G18)," ",""))+1)</f>
      </c>
      <c r="J18" s="3">
        <f>IF(LEN(TRIM(H18))=0,0,LEN(TRIM(H18))-LEN(SUBSTITUTE(TRIM(H18)," ",""))+1)</f>
      </c>
      <c r="K18" s="3">
        <f>LEN(G18)</f>
      </c>
      <c r="L18" s="3">
        <f>LEN(H18)</f>
      </c>
      <c r="M18" s="3">
        <f>IF(COUNTIF($G:$G,G18)&gt;1,"DUP","")</f>
      </c>
      <c r="N18" s="3">
        <f>IF(COUNTIF($H:$H,H18)&gt;1,"DUP","")</f>
      </c>
      <c r="O18" s="3">
        <f>IF(LEFT(B18,LEN(C18))=C18,"OK","CHECK")</f>
      </c>
      <c r="P18" s="4" t="inlineStr">
        <is>
          <t xml:space="preserve">Review</t>
        </is>
      </c>
      <c r="Q18" s="4" t="inlineStr">
        <is>
          <t xml:space="preserve"/>
        </is>
      </c>
      <c r="R18" s="5">
        <f>IF(OR(M18="DUP",N18="DUP",O18="CHECK"),"CHECK","")</f>
      </c>
    </row>
    <row r="19">
      <c r="A19" s="2">
        <v>101</v>
      </c>
      <c r="B19" s="2" t="inlineStr">
        <is>
          <t xml:space="preserve">breath.prep.5</t>
        </is>
      </c>
      <c r="C19" s="2" t="inlineStr">
        <is>
          <t xml:space="preserve">breath.prep</t>
        </is>
      </c>
      <c r="D19" s="2" t="inlineStr">
        <is>
          <t xml:space="preserve">breath.prep.5</t>
        </is>
      </c>
      <c r="E19" s="2" t="inlineStr">
        <is>
          <t xml:space="preserve">personal_trainer</t>
        </is>
      </c>
      <c r="F19" s="2" t="inlineStr">
        <is>
          <t xml:space="preserve">core</t>
        </is>
      </c>
      <c r="G19" s="2" t="inlineStr">
        <is>
          <t xml:space="preserve">Remember: if you need to stop at any point, just stop. Listen to your body.</t>
        </is>
      </c>
      <c r="H19" s="2" t="inlineStr">
        <is>
          <t xml:space="preserve">Husk: om du trenger å stoppe, bare stopp. Lytt til kroppen.</t>
        </is>
      </c>
      <c r="I19" s="3">
        <f>IF(LEN(TRIM(G19))=0,0,LEN(TRIM(G19))-LEN(SUBSTITUTE(TRIM(G19)," ",""))+1)</f>
      </c>
      <c r="J19" s="3">
        <f>IF(LEN(TRIM(H19))=0,0,LEN(TRIM(H19))-LEN(SUBSTITUTE(TRIM(H19)," ",""))+1)</f>
      </c>
      <c r="K19" s="3">
        <f>LEN(G19)</f>
      </c>
      <c r="L19" s="3">
        <f>LEN(H19)</f>
      </c>
      <c r="M19" s="3">
        <f>IF(COUNTIF($G:$G,G19)&gt;1,"DUP","")</f>
      </c>
      <c r="N19" s="3">
        <f>IF(COUNTIF($H:$H,H19)&gt;1,"DUP","")</f>
      </c>
      <c r="O19" s="3">
        <f>IF(LEFT(B19,LEN(C19))=C19,"OK","CHECK")</f>
      </c>
      <c r="P19" s="4" t="inlineStr">
        <is>
          <t xml:space="preserve">Review</t>
        </is>
      </c>
      <c r="Q19" s="4" t="inlineStr">
        <is>
          <t xml:space="preserve"/>
        </is>
      </c>
      <c r="R19" s="5">
        <f>IF(OR(M19="DUP",N19="DUP",O19="CHECK"),"CHECK","")</f>
      </c>
    </row>
    <row r="20">
      <c r="A20" s="2">
        <v>102</v>
      </c>
      <c r="B20" s="2" t="inlineStr">
        <is>
          <t xml:space="preserve">breath.prep.6</t>
        </is>
      </c>
      <c r="C20" s="2" t="inlineStr">
        <is>
          <t xml:space="preserve">breath.prep</t>
        </is>
      </c>
      <c r="D20" s="2" t="inlineStr">
        <is>
          <t xml:space="preserve">breath.prep.6</t>
        </is>
      </c>
      <c r="E20" s="2" t="inlineStr">
        <is>
          <t xml:space="preserve">personal_trainer</t>
        </is>
      </c>
      <c r="F20" s="2" t="inlineStr">
        <is>
          <t xml:space="preserve">core</t>
        </is>
      </c>
      <c r="G20" s="2" t="inlineStr">
        <is>
          <t xml:space="preserve">Shake it out. Loosen up.</t>
        </is>
      </c>
      <c r="H20" s="2" t="inlineStr">
        <is>
          <t xml:space="preserve">Rist det ut. Slapp av.</t>
        </is>
      </c>
      <c r="I20" s="3">
        <f>IF(LEN(TRIM(G20))=0,0,LEN(TRIM(G20))-LEN(SUBSTITUTE(TRIM(G20)," ",""))+1)</f>
      </c>
      <c r="J20" s="3">
        <f>IF(LEN(TRIM(H20))=0,0,LEN(TRIM(H20))-LEN(SUBSTITUTE(TRIM(H20)," ",""))+1)</f>
      </c>
      <c r="K20" s="3">
        <f>LEN(G20)</f>
      </c>
      <c r="L20" s="3">
        <f>LEN(H20)</f>
      </c>
      <c r="M20" s="3">
        <f>IF(COUNTIF($G:$G,G20)&gt;1,"DUP","")</f>
      </c>
      <c r="N20" s="3">
        <f>IF(COUNTIF($H:$H,H20)&gt;1,"DUP","")</f>
      </c>
      <c r="O20" s="3">
        <f>IF(LEFT(B20,LEN(C20))=C20,"OK","CHECK")</f>
      </c>
      <c r="P20" s="4" t="inlineStr">
        <is>
          <t xml:space="preserve">Review</t>
        </is>
      </c>
      <c r="Q20" s="4" t="inlineStr">
        <is>
          <t xml:space="preserve"/>
        </is>
      </c>
      <c r="R20" s="5">
        <f>IF(OR(M20="DUP",N20="DUP",O20="CHECK"),"CHECK","")</f>
      </c>
    </row>
    <row r="21">
      <c r="A21" s="2">
        <v>103</v>
      </c>
      <c r="B21" s="2" t="inlineStr">
        <is>
          <t xml:space="preserve">breath.prep.safety.1</t>
        </is>
      </c>
      <c r="C21" s="2" t="inlineStr">
        <is>
          <t xml:space="preserve">breath.prep</t>
        </is>
      </c>
      <c r="D21" s="2" t="inlineStr">
        <is>
          <t xml:space="preserve">breath.prep.safety</t>
        </is>
      </c>
      <c r="E21" s="2" t="inlineStr">
        <is>
          <t xml:space="preserve">personal_trainer</t>
        </is>
      </c>
      <c r="F21" s="2" t="inlineStr">
        <is>
          <t xml:space="preserve">core</t>
        </is>
      </c>
      <c r="G21" s="2" t="inlineStr">
        <is>
          <t xml:space="preserve">If anything feels wrong during the workout, stop immediately. Your safety comes first.</t>
        </is>
      </c>
      <c r="H21" s="2" t="inlineStr">
        <is>
          <t xml:space="preserve">Hvis noe føles feil under økten, stopp med en gang. Din sikkerhet kommer først.</t>
        </is>
      </c>
      <c r="I21" s="3">
        <f>IF(LEN(TRIM(G21))=0,0,LEN(TRIM(G21))-LEN(SUBSTITUTE(TRIM(G21)," ",""))+1)</f>
      </c>
      <c r="J21" s="3">
        <f>IF(LEN(TRIM(H21))=0,0,LEN(TRIM(H21))-LEN(SUBSTITUTE(TRIM(H21)," ",""))+1)</f>
      </c>
      <c r="K21" s="3">
        <f>LEN(G21)</f>
      </c>
      <c r="L21" s="3">
        <f>LEN(H21)</f>
      </c>
      <c r="M21" s="3">
        <f>IF(COUNTIF($G:$G,G21)&gt;1,"DUP","")</f>
      </c>
      <c r="N21" s="3">
        <f>IF(COUNTIF($H:$H,H21)&gt;1,"DUP","")</f>
      </c>
      <c r="O21" s="3">
        <f>IF(LEFT(B21,LEN(C21))=C21,"OK","CHECK")</f>
      </c>
      <c r="P21" s="4" t="inlineStr">
        <is>
          <t xml:space="preserve">Review</t>
        </is>
      </c>
      <c r="Q21" s="4" t="inlineStr">
        <is>
          <t xml:space="preserve"/>
        </is>
      </c>
      <c r="R21" s="5">
        <f>IF(OR(M21="DUP",N21="DUP",O21="CHECK"),"CHECK","")</f>
      </c>
    </row>
    <row r="22">
      <c r="A22" s="2">
        <v>114</v>
      </c>
      <c r="B22" s="2" t="inlineStr">
        <is>
          <t xml:space="preserve">breath.recovery.1</t>
        </is>
      </c>
      <c r="C22" s="2" t="inlineStr">
        <is>
          <t xml:space="preserve">breath.recovery</t>
        </is>
      </c>
      <c r="D22" s="2" t="inlineStr">
        <is>
          <t xml:space="preserve">breath.recovery.1</t>
        </is>
      </c>
      <c r="E22" s="2" t="inlineStr">
        <is>
          <t xml:space="preserve">personal_trainer</t>
        </is>
      </c>
      <c r="F22" s="2" t="inlineStr">
        <is>
          <t xml:space="preserve">core</t>
        </is>
      </c>
      <c r="G22" s="2" t="inlineStr">
        <is>
          <t xml:space="preserve">Slow it down. In four... out six.</t>
        </is>
      </c>
      <c r="H22" s="2" t="inlineStr">
        <is>
          <t xml:space="preserve">Senk tempoet. Inn fire... ut seks.</t>
        </is>
      </c>
      <c r="I22" s="3">
        <f>IF(LEN(TRIM(G22))=0,0,LEN(TRIM(G22))-LEN(SUBSTITUTE(TRIM(G22)," ",""))+1)</f>
      </c>
      <c r="J22" s="3">
        <f>IF(LEN(TRIM(H22))=0,0,LEN(TRIM(H22))-LEN(SUBSTITUTE(TRIM(H22)," ",""))+1)</f>
      </c>
      <c r="K22" s="3">
        <f>LEN(G22)</f>
      </c>
      <c r="L22" s="3">
        <f>LEN(H22)</f>
      </c>
      <c r="M22" s="3">
        <f>IF(COUNTIF($G:$G,G22)&gt;1,"DUP","")</f>
      </c>
      <c r="N22" s="3">
        <f>IF(COUNTIF($H:$H,H22)&gt;1,"DUP","")</f>
      </c>
      <c r="O22" s="3">
        <f>IF(LEFT(B22,LEN(C22))=C22,"OK","CHECK")</f>
      </c>
      <c r="P22" s="4" t="inlineStr">
        <is>
          <t xml:space="preserve">Review</t>
        </is>
      </c>
      <c r="Q22" s="4" t="inlineStr">
        <is>
          <t xml:space="preserve"/>
        </is>
      </c>
      <c r="R22" s="5">
        <f>IF(OR(M22="DUP",N22="DUP",O22="CHECK"),"CHECK","")</f>
      </c>
    </row>
    <row r="23">
      <c r="A23" s="2">
        <v>115</v>
      </c>
      <c r="B23" s="2" t="inlineStr">
        <is>
          <t xml:space="preserve">breath.recovery.2</t>
        </is>
      </c>
      <c r="C23" s="2" t="inlineStr">
        <is>
          <t xml:space="preserve">breath.recovery</t>
        </is>
      </c>
      <c r="D23" s="2" t="inlineStr">
        <is>
          <t xml:space="preserve">breath.recovery.2</t>
        </is>
      </c>
      <c r="E23" s="2" t="inlineStr">
        <is>
          <t xml:space="preserve">personal_trainer</t>
        </is>
      </c>
      <c r="F23" s="2" t="inlineStr">
        <is>
          <t xml:space="preserve">core</t>
        </is>
      </c>
      <c r="G23" s="2" t="inlineStr">
        <is>
          <t xml:space="preserve">Long exhale. Let the tension go.</t>
        </is>
      </c>
      <c r="H23" s="2" t="inlineStr">
        <is>
          <t xml:space="preserve">Lang utpust. Slipp spenningen.</t>
        </is>
      </c>
      <c r="I23" s="3">
        <f>IF(LEN(TRIM(G23))=0,0,LEN(TRIM(G23))-LEN(SUBSTITUTE(TRIM(G23)," ",""))+1)</f>
      </c>
      <c r="J23" s="3">
        <f>IF(LEN(TRIM(H23))=0,0,LEN(TRIM(H23))-LEN(SUBSTITUTE(TRIM(H23)," ",""))+1)</f>
      </c>
      <c r="K23" s="3">
        <f>LEN(G23)</f>
      </c>
      <c r="L23" s="3">
        <f>LEN(H23)</f>
      </c>
      <c r="M23" s="3">
        <f>IF(COUNTIF($G:$G,G23)&gt;1,"DUP","")</f>
      </c>
      <c r="N23" s="3">
        <f>IF(COUNTIF($H:$H,H23)&gt;1,"DUP","")</f>
      </c>
      <c r="O23" s="3">
        <f>IF(LEFT(B23,LEN(C23))=C23,"OK","CHECK")</f>
      </c>
      <c r="P23" s="4" t="inlineStr">
        <is>
          <t xml:space="preserve">Review</t>
        </is>
      </c>
      <c r="Q23" s="4" t="inlineStr">
        <is>
          <t xml:space="preserve"/>
        </is>
      </c>
      <c r="R23" s="5">
        <f>IF(OR(M23="DUP",N23="DUP",O23="CHECK"),"CHECK","")</f>
      </c>
    </row>
    <row r="24">
      <c r="A24" s="2">
        <v>116</v>
      </c>
      <c r="B24" s="2" t="inlineStr">
        <is>
          <t xml:space="preserve">breath.recovery.3</t>
        </is>
      </c>
      <c r="C24" s="2" t="inlineStr">
        <is>
          <t xml:space="preserve">breath.recovery</t>
        </is>
      </c>
      <c r="D24" s="2" t="inlineStr">
        <is>
          <t xml:space="preserve">breath.recovery.3</t>
        </is>
      </c>
      <c r="E24" s="2" t="inlineStr">
        <is>
          <t xml:space="preserve">personal_trainer</t>
        </is>
      </c>
      <c r="F24" s="2" t="inlineStr">
        <is>
          <t xml:space="preserve">core</t>
        </is>
      </c>
      <c r="G24" s="2" t="inlineStr">
        <is>
          <t xml:space="preserve">Recovery breath. Nice and slow.</t>
        </is>
      </c>
      <c r="H24" s="2" t="inlineStr">
        <is>
          <t xml:space="preserve">Hvilepust. Fint og rolig.</t>
        </is>
      </c>
      <c r="I24" s="3">
        <f>IF(LEN(TRIM(G24))=0,0,LEN(TRIM(G24))-LEN(SUBSTITUTE(TRIM(G24)," ",""))+1)</f>
      </c>
      <c r="J24" s="3">
        <f>IF(LEN(TRIM(H24))=0,0,LEN(TRIM(H24))-LEN(SUBSTITUTE(TRIM(H24)," ",""))+1)</f>
      </c>
      <c r="K24" s="3">
        <f>LEN(G24)</f>
      </c>
      <c r="L24" s="3">
        <f>LEN(H24)</f>
      </c>
      <c r="M24" s="3">
        <f>IF(COUNTIF($G:$G,G24)&gt;1,"DUP","")</f>
      </c>
      <c r="N24" s="3">
        <f>IF(COUNTIF($H:$H,H24)&gt;1,"DUP","")</f>
      </c>
      <c r="O24" s="3">
        <f>IF(LEFT(B24,LEN(C24))=C24,"OK","CHECK")</f>
      </c>
      <c r="P24" s="4" t="inlineStr">
        <is>
          <t xml:space="preserve">Review</t>
        </is>
      </c>
      <c r="Q24" s="4" t="inlineStr">
        <is>
          <t xml:space="preserve"/>
        </is>
      </c>
      <c r="R24" s="5">
        <f>IF(OR(M24="DUP",N24="DUP",O24="CHECK"),"CHECK","")</f>
      </c>
    </row>
    <row r="25">
      <c r="A25" s="2">
        <v>117</v>
      </c>
      <c r="B25" s="2" t="inlineStr">
        <is>
          <t xml:space="preserve">breath.recovery.4</t>
        </is>
      </c>
      <c r="C25" s="2" t="inlineStr">
        <is>
          <t xml:space="preserve">breath.recovery</t>
        </is>
      </c>
      <c r="D25" s="2" t="inlineStr">
        <is>
          <t xml:space="preserve">breath.recovery.4</t>
        </is>
      </c>
      <c r="E25" s="2" t="inlineStr">
        <is>
          <t xml:space="preserve">personal_trainer</t>
        </is>
      </c>
      <c r="F25" s="2" t="inlineStr">
        <is>
          <t xml:space="preserve">core</t>
        </is>
      </c>
      <c r="G25" s="2" t="inlineStr">
        <is>
          <t xml:space="preserve">Breathe deep. You earned this.</t>
        </is>
      </c>
      <c r="H25" s="2" t="inlineStr">
        <is>
          <t xml:space="preserve">Pust dypt. Du fortjente dette.</t>
        </is>
      </c>
      <c r="I25" s="3">
        <f>IF(LEN(TRIM(G25))=0,0,LEN(TRIM(G25))-LEN(SUBSTITUTE(TRIM(G25)," ",""))+1)</f>
      </c>
      <c r="J25" s="3">
        <f>IF(LEN(TRIM(H25))=0,0,LEN(TRIM(H25))-LEN(SUBSTITUTE(TRIM(H25)," ",""))+1)</f>
      </c>
      <c r="K25" s="3">
        <f>LEN(G25)</f>
      </c>
      <c r="L25" s="3">
        <f>LEN(H25)</f>
      </c>
      <c r="M25" s="3">
        <f>IF(COUNTIF($G:$G,G25)&gt;1,"DUP","")</f>
      </c>
      <c r="N25" s="3">
        <f>IF(COUNTIF($H:$H,H25)&gt;1,"DUP","")</f>
      </c>
      <c r="O25" s="3">
        <f>IF(LEFT(B25,LEN(C25))=C25,"OK","CHECK")</f>
      </c>
      <c r="P25" s="4" t="inlineStr">
        <is>
          <t xml:space="preserve">Review</t>
        </is>
      </c>
      <c r="Q25" s="4" t="inlineStr">
        <is>
          <t xml:space="preserve"/>
        </is>
      </c>
      <c r="R25" s="5">
        <f>IF(OR(M25="DUP",N25="DUP",O25="CHECK"),"CHECK","")</f>
      </c>
    </row>
    <row r="26">
      <c r="A26" s="2">
        <v>118</v>
      </c>
      <c r="B26" s="2" t="inlineStr">
        <is>
          <t xml:space="preserve">breath.recovery.5</t>
        </is>
      </c>
      <c r="C26" s="2" t="inlineStr">
        <is>
          <t xml:space="preserve">breath.recovery</t>
        </is>
      </c>
      <c r="D26" s="2" t="inlineStr">
        <is>
          <t xml:space="preserve">breath.recovery.5</t>
        </is>
      </c>
      <c r="E26" s="2" t="inlineStr">
        <is>
          <t xml:space="preserve">personal_trainer</t>
        </is>
      </c>
      <c r="F26" s="2" t="inlineStr">
        <is>
          <t xml:space="preserve">core</t>
        </is>
      </c>
      <c r="G26" s="2" t="inlineStr">
        <is>
          <t xml:space="preserve">Slow nose breathing. Good.</t>
        </is>
      </c>
      <c r="H26" s="2" t="inlineStr">
        <is>
          <t xml:space="preserve">Rolig nesepust. Bra.</t>
        </is>
      </c>
      <c r="I26" s="3">
        <f>IF(LEN(TRIM(G26))=0,0,LEN(TRIM(G26))-LEN(SUBSTITUTE(TRIM(G26)," ",""))+1)</f>
      </c>
      <c r="J26" s="3">
        <f>IF(LEN(TRIM(H26))=0,0,LEN(TRIM(H26))-LEN(SUBSTITUTE(TRIM(H26)," ",""))+1)</f>
      </c>
      <c r="K26" s="3">
        <f>LEN(G26)</f>
      </c>
      <c r="L26" s="3">
        <f>LEN(H26)</f>
      </c>
      <c r="M26" s="3">
        <f>IF(COUNTIF($G:$G,G26)&gt;1,"DUP","")</f>
      </c>
      <c r="N26" s="3">
        <f>IF(COUNTIF($H:$H,H26)&gt;1,"DUP","")</f>
      </c>
      <c r="O26" s="3">
        <f>IF(LEFT(B26,LEN(C26))=C26,"OK","CHECK")</f>
      </c>
      <c r="P26" s="4" t="inlineStr">
        <is>
          <t xml:space="preserve">Review</t>
        </is>
      </c>
      <c r="Q26" s="4" t="inlineStr">
        <is>
          <t xml:space="preserve"/>
        </is>
      </c>
      <c r="R26" s="5">
        <f>IF(OR(M26="DUP",N26="DUP",O26="CHECK"),"CHECK","")</f>
      </c>
    </row>
    <row r="27">
      <c r="A27" s="2">
        <v>104</v>
      </c>
      <c r="B27" s="2" t="inlineStr">
        <is>
          <t xml:space="preserve">breath.warmup.1</t>
        </is>
      </c>
      <c r="C27" s="2" t="inlineStr">
        <is>
          <t xml:space="preserve">breath.warmup</t>
        </is>
      </c>
      <c r="D27" s="2" t="inlineStr">
        <is>
          <t xml:space="preserve">breath.warmup.1</t>
        </is>
      </c>
      <c r="E27" s="2" t="inlineStr">
        <is>
          <t xml:space="preserve">personal_trainer</t>
        </is>
      </c>
      <c r="F27" s="2" t="inlineStr">
        <is>
          <t xml:space="preserve">core</t>
        </is>
      </c>
      <c r="G27" s="2" t="inlineStr">
        <is>
          <t xml:space="preserve">Find your rhythm. Steady breaths.</t>
        </is>
      </c>
      <c r="H27" s="2" t="inlineStr">
        <is>
          <t xml:space="preserve">Finn rytmen. Jevne pust.</t>
        </is>
      </c>
      <c r="I27" s="3">
        <f>IF(LEN(TRIM(G27))=0,0,LEN(TRIM(G27))-LEN(SUBSTITUTE(TRIM(G27)," ",""))+1)</f>
      </c>
      <c r="J27" s="3">
        <f>IF(LEN(TRIM(H27))=0,0,LEN(TRIM(H27))-LEN(SUBSTITUTE(TRIM(H27)," ",""))+1)</f>
      </c>
      <c r="K27" s="3">
        <f>LEN(G27)</f>
      </c>
      <c r="L27" s="3">
        <f>LEN(H27)</f>
      </c>
      <c r="M27" s="3">
        <f>IF(COUNTIF($G:$G,G27)&gt;1,"DUP","")</f>
      </c>
      <c r="N27" s="3">
        <f>IF(COUNTIF($H:$H,H27)&gt;1,"DUP","")</f>
      </c>
      <c r="O27" s="3">
        <f>IF(LEFT(B27,LEN(C27))=C27,"OK","CHECK")</f>
      </c>
      <c r="P27" s="4" t="inlineStr">
        <is>
          <t xml:space="preserve">Review</t>
        </is>
      </c>
      <c r="Q27" s="4" t="inlineStr">
        <is>
          <t xml:space="preserve"/>
        </is>
      </c>
      <c r="R27" s="5">
        <f>IF(OR(M27="DUP",N27="DUP",O27="CHECK"),"CHECK","")</f>
      </c>
    </row>
    <row r="28">
      <c r="A28" s="2">
        <v>105</v>
      </c>
      <c r="B28" s="2" t="inlineStr">
        <is>
          <t xml:space="preserve">breath.warmup.2</t>
        </is>
      </c>
      <c r="C28" s="2" t="inlineStr">
        <is>
          <t xml:space="preserve">breath.warmup</t>
        </is>
      </c>
      <c r="D28" s="2" t="inlineStr">
        <is>
          <t xml:space="preserve">breath.warmup.2</t>
        </is>
      </c>
      <c r="E28" s="2" t="inlineStr">
        <is>
          <t xml:space="preserve">personal_trainer</t>
        </is>
      </c>
      <c r="F28" s="2" t="inlineStr">
        <is>
          <t xml:space="preserve">core</t>
        </is>
      </c>
      <c r="G28" s="2" t="inlineStr">
        <is>
          <t xml:space="preserve">Easy breathing. Let it flow.</t>
        </is>
      </c>
      <c r="H28" s="2" t="inlineStr">
        <is>
          <t xml:space="preserve">Rolig pust. La det flyte.</t>
        </is>
      </c>
      <c r="I28" s="3">
        <f>IF(LEN(TRIM(G28))=0,0,LEN(TRIM(G28))-LEN(SUBSTITUTE(TRIM(G28)," ",""))+1)</f>
      </c>
      <c r="J28" s="3">
        <f>IF(LEN(TRIM(H28))=0,0,LEN(TRIM(H28))-LEN(SUBSTITUTE(TRIM(H28)," ",""))+1)</f>
      </c>
      <c r="K28" s="3">
        <f>LEN(G28)</f>
      </c>
      <c r="L28" s="3">
        <f>LEN(H28)</f>
      </c>
      <c r="M28" s="3">
        <f>IF(COUNTIF($G:$G,G28)&gt;1,"DUP","")</f>
      </c>
      <c r="N28" s="3">
        <f>IF(COUNTIF($H:$H,H28)&gt;1,"DUP","")</f>
      </c>
      <c r="O28" s="3">
        <f>IF(LEFT(B28,LEN(C28))=C28,"OK","CHECK")</f>
      </c>
      <c r="P28" s="4" t="inlineStr">
        <is>
          <t xml:space="preserve">Review</t>
        </is>
      </c>
      <c r="Q28" s="4" t="inlineStr">
        <is>
          <t xml:space="preserve"/>
        </is>
      </c>
      <c r="R28" s="5">
        <f>IF(OR(M28="DUP",N28="DUP",O28="CHECK"),"CHECK","")</f>
      </c>
    </row>
    <row r="29">
      <c r="A29" s="2">
        <v>106</v>
      </c>
      <c r="B29" s="2" t="inlineStr">
        <is>
          <t xml:space="preserve">breath.warmup.3</t>
        </is>
      </c>
      <c r="C29" s="2" t="inlineStr">
        <is>
          <t xml:space="preserve">breath.warmup</t>
        </is>
      </c>
      <c r="D29" s="2" t="inlineStr">
        <is>
          <t xml:space="preserve">breath.warmup.3</t>
        </is>
      </c>
      <c r="E29" s="2" t="inlineStr">
        <is>
          <t xml:space="preserve">personal_trainer</t>
        </is>
      </c>
      <c r="F29" s="2" t="inlineStr">
        <is>
          <t xml:space="preserve">core</t>
        </is>
      </c>
      <c r="G29" s="2" t="inlineStr">
        <is>
          <t xml:space="preserve">Shoulders down, chest open.</t>
        </is>
      </c>
      <c r="H29" s="2" t="inlineStr">
        <is>
          <t xml:space="preserve">Skuldrene ned, brystet åpent.</t>
        </is>
      </c>
      <c r="I29" s="3">
        <f>IF(LEN(TRIM(G29))=0,0,LEN(TRIM(G29))-LEN(SUBSTITUTE(TRIM(G29)," ",""))+1)</f>
      </c>
      <c r="J29" s="3">
        <f>IF(LEN(TRIM(H29))=0,0,LEN(TRIM(H29))-LEN(SUBSTITUTE(TRIM(H29)," ",""))+1)</f>
      </c>
      <c r="K29" s="3">
        <f>LEN(G29)</f>
      </c>
      <c r="L29" s="3">
        <f>LEN(H29)</f>
      </c>
      <c r="M29" s="3">
        <f>IF(COUNTIF($G:$G,G29)&gt;1,"DUP","")</f>
      </c>
      <c r="N29" s="3">
        <f>IF(COUNTIF($H:$H,H29)&gt;1,"DUP","")</f>
      </c>
      <c r="O29" s="3">
        <f>IF(LEFT(B29,LEN(C29))=C29,"OK","CHECK")</f>
      </c>
      <c r="P29" s="4" t="inlineStr">
        <is>
          <t xml:space="preserve">Review</t>
        </is>
      </c>
      <c r="Q29" s="4" t="inlineStr">
        <is>
          <t xml:space="preserve"/>
        </is>
      </c>
      <c r="R29" s="5">
        <f>IF(OR(M29="DUP",N29="DUP",O29="CHECK"),"CHECK","")</f>
      </c>
    </row>
    <row r="30">
      <c r="A30" s="2">
        <v>107</v>
      </c>
      <c r="B30" s="2" t="inlineStr">
        <is>
          <t xml:space="preserve">breath.warmup.4</t>
        </is>
      </c>
      <c r="C30" s="2" t="inlineStr">
        <is>
          <t xml:space="preserve">breath.warmup</t>
        </is>
      </c>
      <c r="D30" s="2" t="inlineStr">
        <is>
          <t xml:space="preserve">breath.warmup.4</t>
        </is>
      </c>
      <c r="E30" s="2" t="inlineStr">
        <is>
          <t xml:space="preserve">personal_trainer</t>
        </is>
      </c>
      <c r="F30" s="2" t="inlineStr">
        <is>
          <t xml:space="preserve">core</t>
        </is>
      </c>
      <c r="G30" s="2" t="inlineStr">
        <is>
          <t xml:space="preserve">Nice and controlled. Build slowly.</t>
        </is>
      </c>
      <c r="H30" s="2" t="inlineStr">
        <is>
          <t xml:space="preserve">Fint og kontrollert. Bygg sakte.</t>
        </is>
      </c>
      <c r="I30" s="3">
        <f>IF(LEN(TRIM(G30))=0,0,LEN(TRIM(G30))-LEN(SUBSTITUTE(TRIM(G30)," ",""))+1)</f>
      </c>
      <c r="J30" s="3">
        <f>IF(LEN(TRIM(H30))=0,0,LEN(TRIM(H30))-LEN(SUBSTITUTE(TRIM(H30)," ",""))+1)</f>
      </c>
      <c r="K30" s="3">
        <f>LEN(G30)</f>
      </c>
      <c r="L30" s="3">
        <f>LEN(H30)</f>
      </c>
      <c r="M30" s="3">
        <f>IF(COUNTIF($G:$G,G30)&gt;1,"DUP","")</f>
      </c>
      <c r="N30" s="3">
        <f>IF(COUNTIF($H:$H,H30)&gt;1,"DUP","")</f>
      </c>
      <c r="O30" s="3">
        <f>IF(LEFT(B30,LEN(C30))=C30,"OK","CHECK")</f>
      </c>
      <c r="P30" s="4" t="inlineStr">
        <is>
          <t xml:space="preserve">Review</t>
        </is>
      </c>
      <c r="Q30" s="4" t="inlineStr">
        <is>
          <t xml:space="preserve"/>
        </is>
      </c>
      <c r="R30" s="5">
        <f>IF(OR(M30="DUP",N30="DUP",O30="CHECK"),"CHECK","")</f>
      </c>
    </row>
    <row r="31">
      <c r="A31" s="2">
        <v>108</v>
      </c>
      <c r="B31" s="2" t="inlineStr">
        <is>
          <t xml:space="preserve">breath.warmup.5</t>
        </is>
      </c>
      <c r="C31" s="2" t="inlineStr">
        <is>
          <t xml:space="preserve">breath.warmup</t>
        </is>
      </c>
      <c r="D31" s="2" t="inlineStr">
        <is>
          <t xml:space="preserve">breath.warmup.5</t>
        </is>
      </c>
      <c r="E31" s="2" t="inlineStr">
        <is>
          <t xml:space="preserve">personal_trainer</t>
        </is>
      </c>
      <c r="F31" s="2" t="inlineStr">
        <is>
          <t xml:space="preserve">core</t>
        </is>
      </c>
      <c r="G31" s="2" t="inlineStr">
        <is>
          <t xml:space="preserve">Breathe through the nose if you can.</t>
        </is>
      </c>
      <c r="H31" s="2" t="inlineStr">
        <is>
          <t xml:space="preserve">Pust gjennom nesen om du kan.</t>
        </is>
      </c>
      <c r="I31" s="3">
        <f>IF(LEN(TRIM(G31))=0,0,LEN(TRIM(G31))-LEN(SUBSTITUTE(TRIM(G31)," ",""))+1)</f>
      </c>
      <c r="J31" s="3">
        <f>IF(LEN(TRIM(H31))=0,0,LEN(TRIM(H31))-LEN(SUBSTITUTE(TRIM(H31)," ",""))+1)</f>
      </c>
      <c r="K31" s="3">
        <f>LEN(G31)</f>
      </c>
      <c r="L31" s="3">
        <f>LEN(H31)</f>
      </c>
      <c r="M31" s="3">
        <f>IF(COUNTIF($G:$G,G31)&gt;1,"DUP","")</f>
      </c>
      <c r="N31" s="3">
        <f>IF(COUNTIF($H:$H,H31)&gt;1,"DUP","")</f>
      </c>
      <c r="O31" s="3">
        <f>IF(LEFT(B31,LEN(C31))=C31,"OK","CHECK")</f>
      </c>
      <c r="P31" s="4" t="inlineStr">
        <is>
          <t xml:space="preserve">Review</t>
        </is>
      </c>
      <c r="Q31" s="4" t="inlineStr">
        <is>
          <t xml:space="preserve"/>
        </is>
      </c>
      <c r="R31" s="5">
        <f>IF(OR(M31="DUP",N31="DUP",O31="CHECK"),"CHECK","")</f>
      </c>
    </row>
    <row r="32">
      <c r="A32" s="2">
        <v>22</v>
      </c>
      <c r="B32" s="2" t="inlineStr">
        <is>
          <t xml:space="preserve">coach.cooldown.1</t>
        </is>
      </c>
      <c r="C32" s="2" t="inlineStr">
        <is>
          <t xml:space="preserve">coach.cooldown</t>
        </is>
      </c>
      <c r="D32" s="2" t="inlineStr">
        <is>
          <t xml:space="preserve">coach.cooldown.1</t>
        </is>
      </c>
      <c r="E32" s="2" t="inlineStr">
        <is>
          <t xml:space="preserve">personal_trainer</t>
        </is>
      </c>
      <c r="F32" s="2" t="inlineStr">
        <is>
          <t xml:space="preserve">core</t>
        </is>
      </c>
      <c r="G32" s="2" t="inlineStr">
        <is>
          <t xml:space="preserve">Well done. Let the breath settle. You earned it.</t>
        </is>
      </c>
      <c r="H32" s="2" t="inlineStr">
        <is>
          <t xml:space="preserve">Bra jobbet. La pusten roe seg. Du fortjener det.</t>
        </is>
      </c>
      <c r="I32" s="3">
        <f>IF(LEN(TRIM(G32))=0,0,LEN(TRIM(G32))-LEN(SUBSTITUTE(TRIM(G32)," ",""))+1)</f>
      </c>
      <c r="J32" s="3">
        <f>IF(LEN(TRIM(H32))=0,0,LEN(TRIM(H32))-LEN(SUBSTITUTE(TRIM(H32)," ",""))+1)</f>
      </c>
      <c r="K32" s="3">
        <f>LEN(G32)</f>
      </c>
      <c r="L32" s="3">
        <f>LEN(H32)</f>
      </c>
      <c r="M32" s="3">
        <f>IF(COUNTIF($G:$G,G32)&gt;1,"DUP","")</f>
      </c>
      <c r="N32" s="3">
        <f>IF(COUNTIF($H:$H,H32)&gt;1,"DUP","")</f>
      </c>
      <c r="O32" s="3">
        <f>IF(LEFT(B32,LEN(C32))=C32,"OK","CHECK")</f>
      </c>
      <c r="P32" s="4" t="inlineStr">
        <is>
          <t xml:space="preserve">Review</t>
        </is>
      </c>
      <c r="Q32" s="4" t="inlineStr">
        <is>
          <t xml:space="preserve"/>
        </is>
      </c>
      <c r="R32" s="5">
        <f>IF(OR(M32="DUP",N32="DUP",O32="CHECK"),"CHECK","")</f>
      </c>
    </row>
    <row r="33">
      <c r="A33" s="2">
        <v>23</v>
      </c>
      <c r="B33" s="2" t="inlineStr">
        <is>
          <t xml:space="preserve">coach.cooldown.2</t>
        </is>
      </c>
      <c r="C33" s="2" t="inlineStr">
        <is>
          <t xml:space="preserve">coach.cooldown</t>
        </is>
      </c>
      <c r="D33" s="2" t="inlineStr">
        <is>
          <t xml:space="preserve">coach.cooldown.2</t>
        </is>
      </c>
      <c r="E33" s="2" t="inlineStr">
        <is>
          <t xml:space="preserve">personal_trainer</t>
        </is>
      </c>
      <c r="F33" s="2" t="inlineStr">
        <is>
          <t xml:space="preserve">core</t>
        </is>
      </c>
      <c r="G33" s="2" t="inlineStr">
        <is>
          <t xml:space="preserve">Relax. Slow it down. Shoulder and chest relaxed.</t>
        </is>
      </c>
      <c r="H33" s="2" t="inlineStr">
        <is>
          <t xml:space="preserve">Slapp av. Senk tempoet. Skuldre og bryst avslappet.</t>
        </is>
      </c>
      <c r="I33" s="3">
        <f>IF(LEN(TRIM(G33))=0,0,LEN(TRIM(G33))-LEN(SUBSTITUTE(TRIM(G33)," ",""))+1)</f>
      </c>
      <c r="J33" s="3">
        <f>IF(LEN(TRIM(H33))=0,0,LEN(TRIM(H33))-LEN(SUBSTITUTE(TRIM(H33)," ",""))+1)</f>
      </c>
      <c r="K33" s="3">
        <f>LEN(G33)</f>
      </c>
      <c r="L33" s="3">
        <f>LEN(H33)</f>
      </c>
      <c r="M33" s="3">
        <f>IF(COUNTIF($G:$G,G33)&gt;1,"DUP","")</f>
      </c>
      <c r="N33" s="3">
        <f>IF(COUNTIF($H:$H,H33)&gt;1,"DUP","")</f>
      </c>
      <c r="O33" s="3">
        <f>IF(LEFT(B33,LEN(C33))=C33,"OK","CHECK")</f>
      </c>
      <c r="P33" s="4" t="inlineStr">
        <is>
          <t xml:space="preserve">Review</t>
        </is>
      </c>
      <c r="Q33" s="4" t="inlineStr">
        <is>
          <t xml:space="preserve"/>
        </is>
      </c>
      <c r="R33" s="5">
        <f>IF(OR(M33="DUP",N33="DUP",O33="CHECK"),"CHECK","")</f>
      </c>
    </row>
    <row r="34">
      <c r="A34" s="2">
        <v>24</v>
      </c>
      <c r="B34" s="2" t="inlineStr">
        <is>
          <t xml:space="preserve">coach.cooldown.3</t>
        </is>
      </c>
      <c r="C34" s="2" t="inlineStr">
        <is>
          <t xml:space="preserve">coach.cooldown</t>
        </is>
      </c>
      <c r="D34" s="2" t="inlineStr">
        <is>
          <t xml:space="preserve">coach.cooldown.3</t>
        </is>
      </c>
      <c r="E34" s="2" t="inlineStr">
        <is>
          <t xml:space="preserve">personal_trainer</t>
        </is>
      </c>
      <c r="F34" s="2" t="inlineStr">
        <is>
          <t xml:space="preserve">core</t>
        </is>
      </c>
      <c r="G34" s="2" t="inlineStr">
        <is>
          <t xml:space="preserve">Good session. Keep calm and controlled.</t>
        </is>
      </c>
      <c r="H34" s="2" t="inlineStr">
        <is>
          <t xml:space="preserve">God økt. Hold deg rolig og kontrollert.</t>
        </is>
      </c>
      <c r="I34" s="3">
        <f>IF(LEN(TRIM(G34))=0,0,LEN(TRIM(G34))-LEN(SUBSTITUTE(TRIM(G34)," ",""))+1)</f>
      </c>
      <c r="J34" s="3">
        <f>IF(LEN(TRIM(H34))=0,0,LEN(TRIM(H34))-LEN(SUBSTITUTE(TRIM(H34)," ",""))+1)</f>
      </c>
      <c r="K34" s="3">
        <f>LEN(G34)</f>
      </c>
      <c r="L34" s="3">
        <f>LEN(H34)</f>
      </c>
      <c r="M34" s="3">
        <f>IF(COUNTIF($G:$G,G34)&gt;1,"DUP","")</f>
      </c>
      <c r="N34" s="3">
        <f>IF(COUNTIF($H:$H,H34)&gt;1,"DUP","")</f>
      </c>
      <c r="O34" s="3">
        <f>IF(LEFT(B34,LEN(C34))=C34,"OK","CHECK")</f>
      </c>
      <c r="P34" s="4" t="inlineStr">
        <is>
          <t xml:space="preserve">Review</t>
        </is>
      </c>
      <c r="Q34" s="4" t="inlineStr">
        <is>
          <t xml:space="preserve"/>
        </is>
      </c>
      <c r="R34" s="5">
        <f>IF(OR(M34="DUP",N34="DUP",O34="CHECK"),"CHECK","")</f>
      </c>
    </row>
    <row r="35">
      <c r="A35" s="2">
        <v>25</v>
      </c>
      <c r="B35" s="2" t="inlineStr">
        <is>
          <t xml:space="preserve">coach.cooldown.4</t>
        </is>
      </c>
      <c r="C35" s="2" t="inlineStr">
        <is>
          <t xml:space="preserve">coach.cooldown</t>
        </is>
      </c>
      <c r="D35" s="2" t="inlineStr">
        <is>
          <t xml:space="preserve">coach.cooldown.4</t>
        </is>
      </c>
      <c r="E35" s="2" t="inlineStr">
        <is>
          <t xml:space="preserve">personal_trainer</t>
        </is>
      </c>
      <c r="F35" s="2" t="inlineStr">
        <is>
          <t xml:space="preserve">core</t>
        </is>
      </c>
      <c r="G35" s="2" t="inlineStr">
        <is>
          <t xml:space="preserve">Steady breathing. That's how we finish strong.</t>
        </is>
      </c>
      <c r="H35" s="2" t="inlineStr">
        <is>
          <t xml:space="preserve">Jevn pust. Slik avslutter vi sterkt.</t>
        </is>
      </c>
      <c r="I35" s="3">
        <f>IF(LEN(TRIM(G35))=0,0,LEN(TRIM(G35))-LEN(SUBSTITUTE(TRIM(G35)," ",""))+1)</f>
      </c>
      <c r="J35" s="3">
        <f>IF(LEN(TRIM(H35))=0,0,LEN(TRIM(H35))-LEN(SUBSTITUTE(TRIM(H35)," ",""))+1)</f>
      </c>
      <c r="K35" s="3">
        <f>LEN(G35)</f>
      </c>
      <c r="L35" s="3">
        <f>LEN(H35)</f>
      </c>
      <c r="M35" s="3">
        <f>IF(COUNTIF($G:$G,G35)&gt;1,"DUP","")</f>
      </c>
      <c r="N35" s="3">
        <f>IF(COUNTIF($H:$H,H35)&gt;1,"DUP","")</f>
      </c>
      <c r="O35" s="3">
        <f>IF(LEFT(B35,LEN(C35))=C35,"OK","CHECK")</f>
      </c>
      <c r="P35" s="4" t="inlineStr">
        <is>
          <t xml:space="preserve">Review</t>
        </is>
      </c>
      <c r="Q35" s="4" t="inlineStr">
        <is>
          <t xml:space="preserve"/>
        </is>
      </c>
      <c r="R35" s="5">
        <f>IF(OR(M35="DUP",N35="DUP",O35="CHECK"),"CHECK","")</f>
      </c>
    </row>
    <row r="36">
      <c r="A36" s="2">
        <v>26</v>
      </c>
      <c r="B36" s="2" t="inlineStr">
        <is>
          <t xml:space="preserve">coach.cooldown.5</t>
        </is>
      </c>
      <c r="C36" s="2" t="inlineStr">
        <is>
          <t xml:space="preserve">coach.cooldown</t>
        </is>
      </c>
      <c r="D36" s="2" t="inlineStr">
        <is>
          <t xml:space="preserve">coach.cooldown.5</t>
        </is>
      </c>
      <c r="E36" s="2" t="inlineStr">
        <is>
          <t xml:space="preserve">personal_trainer</t>
        </is>
      </c>
      <c r="F36" s="2" t="inlineStr">
        <is>
          <t xml:space="preserve">core</t>
        </is>
      </c>
      <c r="G36" s="2" t="inlineStr">
        <is>
          <t xml:space="preserve">Nice work. You controlled your effort well.</t>
        </is>
      </c>
      <c r="H36" s="2" t="inlineStr">
        <is>
          <t xml:space="preserve">Bra jobbet. Du kontrollerte innsatsen godt.</t>
        </is>
      </c>
      <c r="I36" s="3">
        <f>IF(LEN(TRIM(G36))=0,0,LEN(TRIM(G36))-LEN(SUBSTITUTE(TRIM(G36)," ",""))+1)</f>
      </c>
      <c r="J36" s="3">
        <f>IF(LEN(TRIM(H36))=0,0,LEN(TRIM(H36))-LEN(SUBSTITUTE(TRIM(H36)," ",""))+1)</f>
      </c>
      <c r="K36" s="3">
        <f>LEN(G36)</f>
      </c>
      <c r="L36" s="3">
        <f>LEN(H36)</f>
      </c>
      <c r="M36" s="3">
        <f>IF(COUNTIF($G:$G,G36)&gt;1,"DUP","")</f>
      </c>
      <c r="N36" s="3">
        <f>IF(COUNTIF($H:$H,H36)&gt;1,"DUP","")</f>
      </c>
      <c r="O36" s="3">
        <f>IF(LEFT(B36,LEN(C36))=C36,"OK","CHECK")</f>
      </c>
      <c r="P36" s="4" t="inlineStr">
        <is>
          <t xml:space="preserve">Review</t>
        </is>
      </c>
      <c r="Q36" s="4" t="inlineStr">
        <is>
          <t xml:space="preserve"/>
        </is>
      </c>
      <c r="R36" s="5">
        <f>IF(OR(M36="DUP",N36="DUP",O36="CHECK"),"CHECK","")</f>
      </c>
    </row>
    <row r="37">
      <c r="A37" s="2">
        <v>17</v>
      </c>
      <c r="B37" s="2" t="inlineStr">
        <is>
          <t xml:space="preserve">coach.critical.1</t>
        </is>
      </c>
      <c r="C37" s="2" t="inlineStr">
        <is>
          <t xml:space="preserve">coach.critical</t>
        </is>
      </c>
      <c r="D37" s="2" t="inlineStr">
        <is>
          <t xml:space="preserve">coach.critical.1</t>
        </is>
      </c>
      <c r="E37" s="2" t="inlineStr">
        <is>
          <t xml:space="preserve">personal_trainer</t>
        </is>
      </c>
      <c r="F37" s="2" t="inlineStr">
        <is>
          <t xml:space="preserve">core</t>
        </is>
      </c>
      <c r="G37" s="2" t="inlineStr">
        <is>
          <t xml:space="preserve">STOP! Breathe slowly. You're safe.</t>
        </is>
      </c>
      <c r="H37" s="2" t="inlineStr">
        <is>
          <t xml:space="preserve">STOPP! Pust sakte. Du er trygg.</t>
        </is>
      </c>
      <c r="I37" s="3">
        <f>IF(LEN(TRIM(G37))=0,0,LEN(TRIM(G37))-LEN(SUBSTITUTE(TRIM(G37)," ",""))+1)</f>
      </c>
      <c r="J37" s="3">
        <f>IF(LEN(TRIM(H37))=0,0,LEN(TRIM(H37))-LEN(SUBSTITUTE(TRIM(H37)," ",""))+1)</f>
      </c>
      <c r="K37" s="3">
        <f>LEN(G37)</f>
      </c>
      <c r="L37" s="3">
        <f>LEN(H37)</f>
      </c>
      <c r="M37" s="3">
        <f>IF(COUNTIF($G:$G,G37)&gt;1,"DUP","")</f>
      </c>
      <c r="N37" s="3">
        <f>IF(COUNTIF($H:$H,H37)&gt;1,"DUP","")</f>
      </c>
      <c r="O37" s="3">
        <f>IF(LEFT(B37,LEN(C37))=C37,"OK","CHECK")</f>
      </c>
      <c r="P37" s="4" t="inlineStr">
        <is>
          <t xml:space="preserve">Review</t>
        </is>
      </c>
      <c r="Q37" s="4" t="inlineStr">
        <is>
          <t xml:space="preserve"/>
        </is>
      </c>
      <c r="R37" s="5">
        <f>IF(OR(M37="DUP",N37="DUP",O37="CHECK"),"CHECK","")</f>
      </c>
    </row>
    <row r="38">
      <c r="A38" s="2">
        <v>27</v>
      </c>
      <c r="B38" s="2" t="inlineStr">
        <is>
          <t xml:space="preserve">coach.intense.calm.1</t>
        </is>
      </c>
      <c r="C38" s="2" t="inlineStr">
        <is>
          <t xml:space="preserve">coach.intense</t>
        </is>
      </c>
      <c r="D38" s="2" t="inlineStr">
        <is>
          <t xml:space="preserve">coach.intense.calm</t>
        </is>
      </c>
      <c r="E38" s="2" t="inlineStr">
        <is>
          <t xml:space="preserve">personal_trainer</t>
        </is>
      </c>
      <c r="F38" s="2" t="inlineStr">
        <is>
          <t xml:space="preserve">core</t>
        </is>
      </c>
      <c r="G38" s="2" t="inlineStr">
        <is>
          <t xml:space="preserve">Maintain control. Pace yourself. Don't overdo it.</t>
        </is>
      </c>
      <c r="H38" s="2" t="inlineStr">
        <is>
          <t xml:space="preserve">Behold kontrollen. Hold tempoet. Ikke overdrive.</t>
        </is>
      </c>
      <c r="I38" s="3">
        <f>IF(LEN(TRIM(G38))=0,0,LEN(TRIM(G38))-LEN(SUBSTITUTE(TRIM(G38)," ",""))+1)</f>
      </c>
      <c r="J38" s="3">
        <f>IF(LEN(TRIM(H38))=0,0,LEN(TRIM(H38))-LEN(SUBSTITUTE(TRIM(H38)," ",""))+1)</f>
      </c>
      <c r="K38" s="3">
        <f>LEN(G38)</f>
      </c>
      <c r="L38" s="3">
        <f>LEN(H38)</f>
      </c>
      <c r="M38" s="3">
        <f>IF(COUNTIF($G:$G,G38)&gt;1,"DUP","")</f>
      </c>
      <c r="N38" s="3">
        <f>IF(COUNTIF($H:$H,H38)&gt;1,"DUP","")</f>
      </c>
      <c r="O38" s="3">
        <f>IF(LEFT(B38,LEN(C38))=C38,"OK","CHECK")</f>
      </c>
      <c r="P38" s="4" t="inlineStr">
        <is>
          <t xml:space="preserve">Review</t>
        </is>
      </c>
      <c r="Q38" s="4" t="inlineStr">
        <is>
          <t xml:space="preserve"/>
        </is>
      </c>
      <c r="R38" s="5">
        <f>IF(OR(M38="DUP",N38="DUP",O38="CHECK"),"CHECK","")</f>
      </c>
    </row>
    <row r="39">
      <c r="A39" s="2">
        <v>28</v>
      </c>
      <c r="B39" s="2" t="inlineStr">
        <is>
          <t xml:space="preserve">coach.intense.calm.2</t>
        </is>
      </c>
      <c r="C39" s="2" t="inlineStr">
        <is>
          <t xml:space="preserve">coach.intense</t>
        </is>
      </c>
      <c r="D39" s="2" t="inlineStr">
        <is>
          <t xml:space="preserve">coach.intense.calm</t>
        </is>
      </c>
      <c r="E39" s="2" t="inlineStr">
        <is>
          <t xml:space="preserve">personal_trainer</t>
        </is>
      </c>
      <c r="F39" s="2" t="inlineStr">
        <is>
          <t xml:space="preserve">core</t>
        </is>
      </c>
      <c r="G39" s="2" t="inlineStr">
        <is>
          <t xml:space="preserve">Good. Keep that rhythm. Slightly faster, not frantic.</t>
        </is>
      </c>
      <c r="H39" s="2" t="inlineStr">
        <is>
          <t xml:space="preserve">Bra. Hold rytmen. Litt raskere, ikke hektisk.</t>
        </is>
      </c>
      <c r="I39" s="3">
        <f>IF(LEN(TRIM(G39))=0,0,LEN(TRIM(G39))-LEN(SUBSTITUTE(TRIM(G39)," ",""))+1)</f>
      </c>
      <c r="J39" s="3">
        <f>IF(LEN(TRIM(H39))=0,0,LEN(TRIM(H39))-LEN(SUBSTITUTE(TRIM(H39)," ",""))+1)</f>
      </c>
      <c r="K39" s="3">
        <f>LEN(G39)</f>
      </c>
      <c r="L39" s="3">
        <f>LEN(H39)</f>
      </c>
      <c r="M39" s="3">
        <f>IF(COUNTIF($G:$G,G39)&gt;1,"DUP","")</f>
      </c>
      <c r="N39" s="3">
        <f>IF(COUNTIF($H:$H,H39)&gt;1,"DUP","")</f>
      </c>
      <c r="O39" s="3">
        <f>IF(LEFT(B39,LEN(C39))=C39,"OK","CHECK")</f>
      </c>
      <c r="P39" s="4" t="inlineStr">
        <is>
          <t xml:space="preserve">Review</t>
        </is>
      </c>
      <c r="Q39" s="4" t="inlineStr">
        <is>
          <t xml:space="preserve"/>
        </is>
      </c>
      <c r="R39" s="5">
        <f>IF(OR(M39="DUP",N39="DUP",O39="CHECK"),"CHECK","")</f>
      </c>
    </row>
    <row r="40">
      <c r="A40" s="2">
        <v>29</v>
      </c>
      <c r="B40" s="2" t="inlineStr">
        <is>
          <t xml:space="preserve">coach.intense.calm.3</t>
        </is>
      </c>
      <c r="C40" s="2" t="inlineStr">
        <is>
          <t xml:space="preserve">coach.intense</t>
        </is>
      </c>
      <c r="D40" s="2" t="inlineStr">
        <is>
          <t xml:space="preserve">coach.intense.calm</t>
        </is>
      </c>
      <c r="E40" s="2" t="inlineStr">
        <is>
          <t xml:space="preserve">personal_trainer</t>
        </is>
      </c>
      <c r="F40" s="2" t="inlineStr">
        <is>
          <t xml:space="preserve">core</t>
        </is>
      </c>
      <c r="G40" s="2" t="inlineStr">
        <is>
          <t xml:space="preserve">PUSH! Harder!</t>
        </is>
      </c>
      <c r="H40" s="2" t="inlineStr">
        <is>
          <t xml:space="preserve">TRYKK! Hardere!</t>
        </is>
      </c>
      <c r="I40" s="3">
        <f>IF(LEN(TRIM(G40))=0,0,LEN(TRIM(G40))-LEN(SUBSTITUTE(TRIM(G40)," ",""))+1)</f>
      </c>
      <c r="J40" s="3">
        <f>IF(LEN(TRIM(H40))=0,0,LEN(TRIM(H40))-LEN(SUBSTITUTE(TRIM(H40)," ",""))+1)</f>
      </c>
      <c r="K40" s="3">
        <f>LEN(G40)</f>
      </c>
      <c r="L40" s="3">
        <f>LEN(H40)</f>
      </c>
      <c r="M40" s="3">
        <f>IF(COUNTIF($G:$G,G40)&gt;1,"DUP","")</f>
      </c>
      <c r="N40" s="3">
        <f>IF(COUNTIF($H:$H,H40)&gt;1,"DUP","")</f>
      </c>
      <c r="O40" s="3">
        <f>IF(LEFT(B40,LEN(C40))=C40,"OK","CHECK")</f>
      </c>
      <c r="P40" s="4" t="inlineStr">
        <is>
          <t xml:space="preserve">Review</t>
        </is>
      </c>
      <c r="Q40" s="4" t="inlineStr">
        <is>
          <t xml:space="preserve"/>
        </is>
      </c>
      <c r="R40" s="5">
        <f>IF(OR(M40="DUP",N40="DUP",O40="CHECK"),"CHECK","")</f>
      </c>
    </row>
    <row r="41">
      <c r="A41" s="2">
        <v>30</v>
      </c>
      <c r="B41" s="2" t="inlineStr">
        <is>
          <t xml:space="preserve">coach.intense.calm.4</t>
        </is>
      </c>
      <c r="C41" s="2" t="inlineStr">
        <is>
          <t xml:space="preserve">coach.intense</t>
        </is>
      </c>
      <c r="D41" s="2" t="inlineStr">
        <is>
          <t xml:space="preserve">coach.intense.calm</t>
        </is>
      </c>
      <c r="E41" s="2" t="inlineStr">
        <is>
          <t xml:space="preserve">personal_trainer</t>
        </is>
      </c>
      <c r="F41" s="2" t="inlineStr">
        <is>
          <t xml:space="preserve">core</t>
        </is>
      </c>
      <c r="G41" s="2" t="inlineStr">
        <is>
          <t xml:space="preserve">You got more!</t>
        </is>
      </c>
      <c r="H41" s="2" t="inlineStr">
        <is>
          <t xml:space="preserve">Du har mer!</t>
        </is>
      </c>
      <c r="I41" s="3">
        <f>IF(LEN(TRIM(G41))=0,0,LEN(TRIM(G41))-LEN(SUBSTITUTE(TRIM(G41)," ",""))+1)</f>
      </c>
      <c r="J41" s="3">
        <f>IF(LEN(TRIM(H41))=0,0,LEN(TRIM(H41))-LEN(SUBSTITUTE(TRIM(H41)," ",""))+1)</f>
      </c>
      <c r="K41" s="3">
        <f>LEN(G41)</f>
      </c>
      <c r="L41" s="3">
        <f>LEN(H41)</f>
      </c>
      <c r="M41" s="3">
        <f>IF(COUNTIF($G:$G,G41)&gt;1,"DUP","")</f>
      </c>
      <c r="N41" s="3">
        <f>IF(COUNTIF($H:$H,H41)&gt;1,"DUP","")</f>
      </c>
      <c r="O41" s="3">
        <f>IF(LEFT(B41,LEN(C41))=C41,"OK","CHECK")</f>
      </c>
      <c r="P41" s="4" t="inlineStr">
        <is>
          <t xml:space="preserve">Review</t>
        </is>
      </c>
      <c r="Q41" s="4" t="inlineStr">
        <is>
          <t xml:space="preserve"/>
        </is>
      </c>
      <c r="R41" s="5">
        <f>IF(OR(M41="DUP",N41="DUP",O41="CHECK"),"CHECK","")</f>
      </c>
    </row>
    <row r="42">
      <c r="A42" s="2">
        <v>35</v>
      </c>
      <c r="B42" s="2" t="inlineStr">
        <is>
          <t xml:space="preserve">coach.intense.intense.1</t>
        </is>
      </c>
      <c r="C42" s="2" t="inlineStr">
        <is>
          <t xml:space="preserve">coach.intense</t>
        </is>
      </c>
      <c r="D42" s="2" t="inlineStr">
        <is>
          <t xml:space="preserve">coach.intense.intense</t>
        </is>
      </c>
      <c r="E42" s="2" t="inlineStr">
        <is>
          <t xml:space="preserve">personal_trainer</t>
        </is>
      </c>
      <c r="F42" s="2" t="inlineStr">
        <is>
          <t xml:space="preserve">core</t>
        </is>
      </c>
      <c r="G42" s="2" t="inlineStr">
        <is>
          <t xml:space="preserve">Breathing quickened. Slow down a touch.</t>
        </is>
      </c>
      <c r="H42" s="2" t="inlineStr">
        <is>
          <t xml:space="preserve">Pusten øker. Senk litt.</t>
        </is>
      </c>
      <c r="I42" s="3">
        <f>IF(LEN(TRIM(G42))=0,0,LEN(TRIM(G42))-LEN(SUBSTITUTE(TRIM(G42)," ",""))+1)</f>
      </c>
      <c r="J42" s="3">
        <f>IF(LEN(TRIM(H42))=0,0,LEN(TRIM(H42))-LEN(SUBSTITUTE(TRIM(H42)," ",""))+1)</f>
      </c>
      <c r="K42" s="3">
        <f>LEN(G42)</f>
      </c>
      <c r="L42" s="3">
        <f>LEN(H42)</f>
      </c>
      <c r="M42" s="3">
        <f>IF(COUNTIF($G:$G,G42)&gt;1,"DUP","")</f>
      </c>
      <c r="N42" s="3">
        <f>IF(COUNTIF($H:$H,H42)&gt;1,"DUP","")</f>
      </c>
      <c r="O42" s="3">
        <f>IF(LEFT(B42,LEN(C42))=C42,"OK","CHECK")</f>
      </c>
      <c r="P42" s="4" t="inlineStr">
        <is>
          <t xml:space="preserve">Review</t>
        </is>
      </c>
      <c r="Q42" s="4" t="inlineStr">
        <is>
          <t xml:space="preserve"/>
        </is>
      </c>
      <c r="R42" s="5">
        <f>IF(OR(M42="DUP",N42="DUP",O42="CHECK"),"CHECK","")</f>
      </c>
    </row>
    <row r="43">
      <c r="A43" s="2">
        <v>36</v>
      </c>
      <c r="B43" s="2" t="inlineStr">
        <is>
          <t xml:space="preserve">coach.intense.intense.2</t>
        </is>
      </c>
      <c r="C43" s="2" t="inlineStr">
        <is>
          <t xml:space="preserve">coach.intense</t>
        </is>
      </c>
      <c r="D43" s="2" t="inlineStr">
        <is>
          <t xml:space="preserve">coach.intense.intense</t>
        </is>
      </c>
      <c r="E43" s="2" t="inlineStr">
        <is>
          <t xml:space="preserve">personal_trainer</t>
        </is>
      </c>
      <c r="F43" s="2" t="inlineStr">
        <is>
          <t xml:space="preserve">core</t>
        </is>
      </c>
      <c r="G43" s="2" t="inlineStr">
        <is>
          <t xml:space="preserve">Maintain control. Pace yourself. Don't overdo it.</t>
        </is>
      </c>
      <c r="H43" s="2" t="inlineStr">
        <is>
          <t xml:space="preserve">Behold kontrollen. Hold tempoet.</t>
        </is>
      </c>
      <c r="I43" s="3">
        <f>IF(LEN(TRIM(G43))=0,0,LEN(TRIM(G43))-LEN(SUBSTITUTE(TRIM(G43)," ",""))+1)</f>
      </c>
      <c r="J43" s="3">
        <f>IF(LEN(TRIM(H43))=0,0,LEN(TRIM(H43))-LEN(SUBSTITUTE(TRIM(H43)," ",""))+1)</f>
      </c>
      <c r="K43" s="3">
        <f>LEN(G43)</f>
      </c>
      <c r="L43" s="3">
        <f>LEN(H43)</f>
      </c>
      <c r="M43" s="3">
        <f>IF(COUNTIF($G:$G,G43)&gt;1,"DUP","")</f>
      </c>
      <c r="N43" s="3">
        <f>IF(COUNTIF($H:$H,H43)&gt;1,"DUP","")</f>
      </c>
      <c r="O43" s="3">
        <f>IF(LEFT(B43,LEN(C43))=C43,"OK","CHECK")</f>
      </c>
      <c r="P43" s="4" t="inlineStr">
        <is>
          <t xml:space="preserve">Review</t>
        </is>
      </c>
      <c r="Q43" s="4" t="inlineStr">
        <is>
          <t xml:space="preserve"/>
        </is>
      </c>
      <c r="R43" s="5">
        <f>IF(OR(M43="DUP",N43="DUP",O43="CHECK"),"CHECK","")</f>
      </c>
    </row>
    <row r="44">
      <c r="A44" s="2">
        <v>37</v>
      </c>
      <c r="B44" s="2" t="inlineStr">
        <is>
          <t xml:space="preserve">coach.intense.intense.3</t>
        </is>
      </c>
      <c r="C44" s="2" t="inlineStr">
        <is>
          <t xml:space="preserve">coach.intense</t>
        </is>
      </c>
      <c r="D44" s="2" t="inlineStr">
        <is>
          <t xml:space="preserve">coach.intense.intense</t>
        </is>
      </c>
      <c r="E44" s="2" t="inlineStr">
        <is>
          <t xml:space="preserve">personal_trainer</t>
        </is>
      </c>
      <c r="F44" s="2" t="inlineStr">
        <is>
          <t xml:space="preserve">core</t>
        </is>
      </c>
      <c r="G44" s="2" t="inlineStr">
        <is>
          <t xml:space="preserve">One more interval like this and you're done. Focus.</t>
        </is>
      </c>
      <c r="H44" s="2" t="inlineStr">
        <is>
          <t xml:space="preserve">En runde til slik, så er du ferdig. Fokus.</t>
        </is>
      </c>
      <c r="I44" s="3">
        <f>IF(LEN(TRIM(G44))=0,0,LEN(TRIM(G44))-LEN(SUBSTITUTE(TRIM(G44)," ",""))+1)</f>
      </c>
      <c r="J44" s="3">
        <f>IF(LEN(TRIM(H44))=0,0,LEN(TRIM(H44))-LEN(SUBSTITUTE(TRIM(H44)," ",""))+1)</f>
      </c>
      <c r="K44" s="3">
        <f>LEN(G44)</f>
      </c>
      <c r="L44" s="3">
        <f>LEN(H44)</f>
      </c>
      <c r="M44" s="3">
        <f>IF(COUNTIF($G:$G,G44)&gt;1,"DUP","")</f>
      </c>
      <c r="N44" s="3">
        <f>IF(COUNTIF($H:$H,H44)&gt;1,"DUP","")</f>
      </c>
      <c r="O44" s="3">
        <f>IF(LEFT(B44,LEN(C44))=C44,"OK","CHECK")</f>
      </c>
      <c r="P44" s="4" t="inlineStr">
        <is>
          <t xml:space="preserve">Review</t>
        </is>
      </c>
      <c r="Q44" s="4" t="inlineStr">
        <is>
          <t xml:space="preserve"/>
        </is>
      </c>
      <c r="R44" s="5">
        <f>IF(OR(M44="DUP",N44="DUP",O44="CHECK"),"CHECK","")</f>
      </c>
    </row>
    <row r="45">
      <c r="A45" s="2">
        <v>38</v>
      </c>
      <c r="B45" s="2" t="inlineStr">
        <is>
          <t xml:space="preserve">coach.intense.intense.4</t>
        </is>
      </c>
      <c r="C45" s="2" t="inlineStr">
        <is>
          <t xml:space="preserve">coach.intense</t>
        </is>
      </c>
      <c r="D45" s="2" t="inlineStr">
        <is>
          <t xml:space="preserve">coach.intense.intense</t>
        </is>
      </c>
      <c r="E45" s="2" t="inlineStr">
        <is>
          <t xml:space="preserve">personal_trainer</t>
        </is>
      </c>
      <c r="F45" s="2" t="inlineStr">
        <is>
          <t xml:space="preserve">core</t>
        </is>
      </c>
      <c r="G45" s="2" t="inlineStr">
        <is>
          <t xml:space="preserve">YES! Hold on! Ten more!</t>
        </is>
      </c>
      <c r="H45" s="2" t="inlineStr">
        <is>
          <t xml:space="preserve">JA! Hold ut! Ti til!</t>
        </is>
      </c>
      <c r="I45" s="3">
        <f>IF(LEN(TRIM(G45))=0,0,LEN(TRIM(G45))-LEN(SUBSTITUTE(TRIM(G45)," ",""))+1)</f>
      </c>
      <c r="J45" s="3">
        <f>IF(LEN(TRIM(H45))=0,0,LEN(TRIM(H45))-LEN(SUBSTITUTE(TRIM(H45)," ",""))+1)</f>
      </c>
      <c r="K45" s="3">
        <f>LEN(G45)</f>
      </c>
      <c r="L45" s="3">
        <f>LEN(H45)</f>
      </c>
      <c r="M45" s="3">
        <f>IF(COUNTIF($G:$G,G45)&gt;1,"DUP","")</f>
      </c>
      <c r="N45" s="3">
        <f>IF(COUNTIF($H:$H,H45)&gt;1,"DUP","")</f>
      </c>
      <c r="O45" s="3">
        <f>IF(LEFT(B45,LEN(C45))=C45,"OK","CHECK")</f>
      </c>
      <c r="P45" s="4" t="inlineStr">
        <is>
          <t xml:space="preserve">Review</t>
        </is>
      </c>
      <c r="Q45" s="4" t="inlineStr">
        <is>
          <t xml:space="preserve"/>
        </is>
      </c>
      <c r="R45" s="5">
        <f>IF(OR(M45="DUP",N45="DUP",O45="CHECK"),"CHECK","")</f>
      </c>
    </row>
    <row r="46">
      <c r="A46" s="2">
        <v>31</v>
      </c>
      <c r="B46" s="2" t="inlineStr">
        <is>
          <t xml:space="preserve">coach.intense.moderate.1</t>
        </is>
      </c>
      <c r="C46" s="2" t="inlineStr">
        <is>
          <t xml:space="preserve">coach.intense</t>
        </is>
      </c>
      <c r="D46" s="2" t="inlineStr">
        <is>
          <t xml:space="preserve">coach.intense.moderate</t>
        </is>
      </c>
      <c r="E46" s="2" t="inlineStr">
        <is>
          <t xml:space="preserve">personal_trainer</t>
        </is>
      </c>
      <c r="F46" s="2" t="inlineStr">
        <is>
          <t xml:space="preserve">core</t>
        </is>
      </c>
      <c r="G46" s="2" t="inlineStr">
        <is>
          <t xml:space="preserve">Good. Keep that rhythm. Slightly faster, not frantic.</t>
        </is>
      </c>
      <c r="H46" s="2" t="inlineStr">
        <is>
          <t xml:space="preserve">Bra. Hold rytmen. Litt raskere, ikke hektisk.</t>
        </is>
      </c>
      <c r="I46" s="3">
        <f>IF(LEN(TRIM(G46))=0,0,LEN(TRIM(G46))-LEN(SUBSTITUTE(TRIM(G46)," ",""))+1)</f>
      </c>
      <c r="J46" s="3">
        <f>IF(LEN(TRIM(H46))=0,0,LEN(TRIM(H46))-LEN(SUBSTITUTE(TRIM(H46)," ",""))+1)</f>
      </c>
      <c r="K46" s="3">
        <f>LEN(G46)</f>
      </c>
      <c r="L46" s="3">
        <f>LEN(H46)</f>
      </c>
      <c r="M46" s="3">
        <f>IF(COUNTIF($G:$G,G46)&gt;1,"DUP","")</f>
      </c>
      <c r="N46" s="3">
        <f>IF(COUNTIF($H:$H,H46)&gt;1,"DUP","")</f>
      </c>
      <c r="O46" s="3">
        <f>IF(LEFT(B46,LEN(C46))=C46,"OK","CHECK")</f>
      </c>
      <c r="P46" s="4" t="inlineStr">
        <is>
          <t xml:space="preserve">Review</t>
        </is>
      </c>
      <c r="Q46" s="4" t="inlineStr">
        <is>
          <t xml:space="preserve"/>
        </is>
      </c>
      <c r="R46" s="5">
        <f>IF(OR(M46="DUP",N46="DUP",O46="CHECK"),"CHECK","")</f>
      </c>
    </row>
    <row r="47">
      <c r="A47" s="2">
        <v>32</v>
      </c>
      <c r="B47" s="2" t="inlineStr">
        <is>
          <t xml:space="preserve">coach.intense.moderate.2</t>
        </is>
      </c>
      <c r="C47" s="2" t="inlineStr">
        <is>
          <t xml:space="preserve">coach.intense</t>
        </is>
      </c>
      <c r="D47" s="2" t="inlineStr">
        <is>
          <t xml:space="preserve">coach.intense.moderate</t>
        </is>
      </c>
      <c r="E47" s="2" t="inlineStr">
        <is>
          <t xml:space="preserve">personal_trainer</t>
        </is>
      </c>
      <c r="F47" s="2" t="inlineStr">
        <is>
          <t xml:space="preserve">core</t>
        </is>
      </c>
      <c r="G47" s="2" t="inlineStr">
        <is>
          <t xml:space="preserve">Steady arms, steady breath. That's it.</t>
        </is>
      </c>
      <c r="H47" s="2" t="inlineStr">
        <is>
          <t xml:space="preserve">Sterke armer, stø pust. Der ja.</t>
        </is>
      </c>
      <c r="I47" s="3">
        <f>IF(LEN(TRIM(G47))=0,0,LEN(TRIM(G47))-LEN(SUBSTITUTE(TRIM(G47)," ",""))+1)</f>
      </c>
      <c r="J47" s="3">
        <f>IF(LEN(TRIM(H47))=0,0,LEN(TRIM(H47))-LEN(SUBSTITUTE(TRIM(H47)," ",""))+1)</f>
      </c>
      <c r="K47" s="3">
        <f>LEN(G47)</f>
      </c>
      <c r="L47" s="3">
        <f>LEN(H47)</f>
      </c>
      <c r="M47" s="3">
        <f>IF(COUNTIF($G:$G,G47)&gt;1,"DUP","")</f>
      </c>
      <c r="N47" s="3">
        <f>IF(COUNTIF($H:$H,H47)&gt;1,"DUP","")</f>
      </c>
      <c r="O47" s="3">
        <f>IF(LEFT(B47,LEN(C47))=C47,"OK","CHECK")</f>
      </c>
      <c r="P47" s="4" t="inlineStr">
        <is>
          <t xml:space="preserve">Review</t>
        </is>
      </c>
      <c r="Q47" s="4" t="inlineStr">
        <is>
          <t xml:space="preserve"/>
        </is>
      </c>
      <c r="R47" s="5">
        <f>IF(OR(M47="DUP",N47="DUP",O47="CHECK"),"CHECK","")</f>
      </c>
    </row>
    <row r="48">
      <c r="A48" s="2">
        <v>33</v>
      </c>
      <c r="B48" s="2" t="inlineStr">
        <is>
          <t xml:space="preserve">coach.intense.moderate.3</t>
        </is>
      </c>
      <c r="C48" s="2" t="inlineStr">
        <is>
          <t xml:space="preserve">coach.intense</t>
        </is>
      </c>
      <c r="D48" s="2" t="inlineStr">
        <is>
          <t xml:space="preserve">coach.intense.moderate</t>
        </is>
      </c>
      <c r="E48" s="2" t="inlineStr">
        <is>
          <t xml:space="preserve">personal_trainer</t>
        </is>
      </c>
      <c r="F48" s="2" t="inlineStr">
        <is>
          <t xml:space="preserve">core</t>
        </is>
      </c>
      <c r="G48" s="2" t="inlineStr">
        <is>
          <t xml:space="preserve">Keep going! Don't stop!</t>
        </is>
      </c>
      <c r="H48" s="2" t="inlineStr">
        <is>
          <t xml:space="preserve">Fortsett! Ikke stopp!</t>
        </is>
      </c>
      <c r="I48" s="3">
        <f>IF(LEN(TRIM(G48))=0,0,LEN(TRIM(G48))-LEN(SUBSTITUTE(TRIM(G48)," ",""))+1)</f>
      </c>
      <c r="J48" s="3">
        <f>IF(LEN(TRIM(H48))=0,0,LEN(TRIM(H48))-LEN(SUBSTITUTE(TRIM(H48)," ",""))+1)</f>
      </c>
      <c r="K48" s="3">
        <f>LEN(G48)</f>
      </c>
      <c r="L48" s="3">
        <f>LEN(H48)</f>
      </c>
      <c r="M48" s="3">
        <f>IF(COUNTIF($G:$G,G48)&gt;1,"DUP","")</f>
      </c>
      <c r="N48" s="3">
        <f>IF(COUNTIF($H:$H,H48)&gt;1,"DUP","")</f>
      </c>
      <c r="O48" s="3">
        <f>IF(LEFT(B48,LEN(C48))=C48,"OK","CHECK")</f>
      </c>
      <c r="P48" s="4" t="inlineStr">
        <is>
          <t xml:space="preserve">Review</t>
        </is>
      </c>
      <c r="Q48" s="4" t="inlineStr">
        <is>
          <t xml:space="preserve"/>
        </is>
      </c>
      <c r="R48" s="5">
        <f>IF(OR(M48="DUP",N48="DUP",O48="CHECK"),"CHECK","")</f>
      </c>
    </row>
    <row r="49">
      <c r="A49" s="2">
        <v>34</v>
      </c>
      <c r="B49" s="2" t="inlineStr">
        <is>
          <t xml:space="preserve">coach.intense.moderate.4</t>
        </is>
      </c>
      <c r="C49" s="2" t="inlineStr">
        <is>
          <t xml:space="preserve">coach.intense</t>
        </is>
      </c>
      <c r="D49" s="2" t="inlineStr">
        <is>
          <t xml:space="preserve">coach.intense.moderate</t>
        </is>
      </c>
      <c r="E49" s="2" t="inlineStr">
        <is>
          <t xml:space="preserve">personal_trainer</t>
        </is>
      </c>
      <c r="F49" s="2" t="inlineStr">
        <is>
          <t xml:space="preserve">core</t>
        </is>
      </c>
      <c r="G49" s="2" t="inlineStr">
        <is>
          <t xml:space="preserve">Good! Hold the pace!</t>
        </is>
      </c>
      <c r="H49" s="2" t="inlineStr">
        <is>
          <t xml:space="preserve">Bra! Hold tempoet!</t>
        </is>
      </c>
      <c r="I49" s="3">
        <f>IF(LEN(TRIM(G49))=0,0,LEN(TRIM(G49))-LEN(SUBSTITUTE(TRIM(G49)," ",""))+1)</f>
      </c>
      <c r="J49" s="3">
        <f>IF(LEN(TRIM(H49))=0,0,LEN(TRIM(H49))-LEN(SUBSTITUTE(TRIM(H49)," ",""))+1)</f>
      </c>
      <c r="K49" s="3">
        <f>LEN(G49)</f>
      </c>
      <c r="L49" s="3">
        <f>LEN(H49)</f>
      </c>
      <c r="M49" s="3">
        <f>IF(COUNTIF($G:$G,G49)&gt;1,"DUP","")</f>
      </c>
      <c r="N49" s="3">
        <f>IF(COUNTIF($H:$H,H49)&gt;1,"DUP","")</f>
      </c>
      <c r="O49" s="3">
        <f>IF(LEFT(B49,LEN(C49))=C49,"OK","CHECK")</f>
      </c>
      <c r="P49" s="4" t="inlineStr">
        <is>
          <t xml:space="preserve">Review</t>
        </is>
      </c>
      <c r="Q49" s="4" t="inlineStr">
        <is>
          <t xml:space="preserve"/>
        </is>
      </c>
      <c r="R49" s="5">
        <f>IF(OR(M49="DUP",N49="DUP",O49="CHECK"),"CHECK","")</f>
      </c>
    </row>
    <row r="50">
      <c r="A50" s="2">
        <v>18</v>
      </c>
      <c r="B50" s="2" t="inlineStr">
        <is>
          <t xml:space="preserve">coach.warmup.1</t>
        </is>
      </c>
      <c r="C50" s="2" t="inlineStr">
        <is>
          <t xml:space="preserve">coach.warmup</t>
        </is>
      </c>
      <c r="D50" s="2" t="inlineStr">
        <is>
          <t xml:space="preserve">coach.warmup.1</t>
        </is>
      </c>
      <c r="E50" s="2" t="inlineStr">
        <is>
          <t xml:space="preserve">personal_trainer</t>
        </is>
      </c>
      <c r="F50" s="2" t="inlineStr">
        <is>
          <t xml:space="preserve">core</t>
        </is>
      </c>
      <c r="G50" s="2" t="inlineStr">
        <is>
          <t xml:space="preserve">Welcome. Let's start slow. Find your rhythm.</t>
        </is>
      </c>
      <c r="H50" s="2" t="inlineStr">
        <is>
          <t xml:space="preserve">Velkommen. La oss starte rolig. Finn rytmen din.</t>
        </is>
      </c>
      <c r="I50" s="3">
        <f>IF(LEN(TRIM(G50))=0,0,LEN(TRIM(G50))-LEN(SUBSTITUTE(TRIM(G50)," ",""))+1)</f>
      </c>
      <c r="J50" s="3">
        <f>IF(LEN(TRIM(H50))=0,0,LEN(TRIM(H50))-LEN(SUBSTITUTE(TRIM(H50)," ",""))+1)</f>
      </c>
      <c r="K50" s="3">
        <f>LEN(G50)</f>
      </c>
      <c r="L50" s="3">
        <f>LEN(H50)</f>
      </c>
      <c r="M50" s="3">
        <f>IF(COUNTIF($G:$G,G50)&gt;1,"DUP","")</f>
      </c>
      <c r="N50" s="3">
        <f>IF(COUNTIF($H:$H,H50)&gt;1,"DUP","")</f>
      </c>
      <c r="O50" s="3">
        <f>IF(LEFT(B50,LEN(C50))=C50,"OK","CHECK")</f>
      </c>
      <c r="P50" s="4" t="inlineStr">
        <is>
          <t xml:space="preserve">Review</t>
        </is>
      </c>
      <c r="Q50" s="4" t="inlineStr">
        <is>
          <t xml:space="preserve"/>
        </is>
      </c>
      <c r="R50" s="5">
        <f>IF(OR(M50="DUP",N50="DUP",O50="CHECK"),"CHECK","")</f>
      </c>
    </row>
    <row r="51">
      <c r="A51" s="2">
        <v>19</v>
      </c>
      <c r="B51" s="2" t="inlineStr">
        <is>
          <t xml:space="preserve">coach.warmup.2</t>
        </is>
      </c>
      <c r="C51" s="2" t="inlineStr">
        <is>
          <t xml:space="preserve">coach.warmup</t>
        </is>
      </c>
      <c r="D51" s="2" t="inlineStr">
        <is>
          <t xml:space="preserve">coach.warmup.2</t>
        </is>
      </c>
      <c r="E51" s="2" t="inlineStr">
        <is>
          <t xml:space="preserve">personal_trainer</t>
        </is>
      </c>
      <c r="F51" s="2" t="inlineStr">
        <is>
          <t xml:space="preserve">core</t>
        </is>
      </c>
      <c r="G51" s="2" t="inlineStr">
        <is>
          <t xml:space="preserve">Good. Breathe in, and out. Settle your shoulders.</t>
        </is>
      </c>
      <c r="H51" s="2" t="inlineStr">
        <is>
          <t xml:space="preserve">Bra. Pust inn, og ut. Slapp av skuldrene.</t>
        </is>
      </c>
      <c r="I51" s="3">
        <f>IF(LEN(TRIM(G51))=0,0,LEN(TRIM(G51))-LEN(SUBSTITUTE(TRIM(G51)," ",""))+1)</f>
      </c>
      <c r="J51" s="3">
        <f>IF(LEN(TRIM(H51))=0,0,LEN(TRIM(H51))-LEN(SUBSTITUTE(TRIM(H51)," ",""))+1)</f>
      </c>
      <c r="K51" s="3">
        <f>LEN(G51)</f>
      </c>
      <c r="L51" s="3">
        <f>LEN(H51)</f>
      </c>
      <c r="M51" s="3">
        <f>IF(COUNTIF($G:$G,G51)&gt;1,"DUP","")</f>
      </c>
      <c r="N51" s="3">
        <f>IF(COUNTIF($H:$H,H51)&gt;1,"DUP","")</f>
      </c>
      <c r="O51" s="3">
        <f>IF(LEFT(B51,LEN(C51))=C51,"OK","CHECK")</f>
      </c>
      <c r="P51" s="4" t="inlineStr">
        <is>
          <t xml:space="preserve">Review</t>
        </is>
      </c>
      <c r="Q51" s="4" t="inlineStr">
        <is>
          <t xml:space="preserve"/>
        </is>
      </c>
      <c r="R51" s="5">
        <f>IF(OR(M51="DUP",N51="DUP",O51="CHECK"),"CHECK","")</f>
      </c>
    </row>
    <row r="52">
      <c r="A52" s="2">
        <v>20</v>
      </c>
      <c r="B52" s="2" t="inlineStr">
        <is>
          <t xml:space="preserve">coach.warmup.3</t>
        </is>
      </c>
      <c r="C52" s="2" t="inlineStr">
        <is>
          <t xml:space="preserve">coach.warmup</t>
        </is>
      </c>
      <c r="D52" s="2" t="inlineStr">
        <is>
          <t xml:space="preserve">coach.warmup.3</t>
        </is>
      </c>
      <c r="E52" s="2" t="inlineStr">
        <is>
          <t xml:space="preserve">personal_trainer</t>
        </is>
      </c>
      <c r="F52" s="2" t="inlineStr">
        <is>
          <t xml:space="preserve">core</t>
        </is>
      </c>
      <c r="G52" s="2" t="inlineStr">
        <is>
          <t xml:space="preserve">Steady now. Don't rush. Warmup first, intensity later.</t>
        </is>
      </c>
      <c r="H52" s="2" t="inlineStr">
        <is>
          <t xml:space="preserve">Rolig nå. Ikke stress. Oppvarming først.</t>
        </is>
      </c>
      <c r="I52" s="3">
        <f>IF(LEN(TRIM(G52))=0,0,LEN(TRIM(G52))-LEN(SUBSTITUTE(TRIM(G52)," ",""))+1)</f>
      </c>
      <c r="J52" s="3">
        <f>IF(LEN(TRIM(H52))=0,0,LEN(TRIM(H52))-LEN(SUBSTITUTE(TRIM(H52)," ",""))+1)</f>
      </c>
      <c r="K52" s="3">
        <f>LEN(G52)</f>
      </c>
      <c r="L52" s="3">
        <f>LEN(H52)</f>
      </c>
      <c r="M52" s="3">
        <f>IF(COUNTIF($G:$G,G52)&gt;1,"DUP","")</f>
      </c>
      <c r="N52" s="3">
        <f>IF(COUNTIF($H:$H,H52)&gt;1,"DUP","")</f>
      </c>
      <c r="O52" s="3">
        <f>IF(LEFT(B52,LEN(C52))=C52,"OK","CHECK")</f>
      </c>
      <c r="P52" s="4" t="inlineStr">
        <is>
          <t xml:space="preserve">Review</t>
        </is>
      </c>
      <c r="Q52" s="4" t="inlineStr">
        <is>
          <t xml:space="preserve"/>
        </is>
      </c>
      <c r="R52" s="5">
        <f>IF(OR(M52="DUP",N52="DUP",O52="CHECK"),"CHECK","")</f>
      </c>
    </row>
    <row r="53">
      <c r="A53" s="2">
        <v>21</v>
      </c>
      <c r="B53" s="2" t="inlineStr">
        <is>
          <t xml:space="preserve">coach.warmup.4</t>
        </is>
      </c>
      <c r="C53" s="2" t="inlineStr">
        <is>
          <t xml:space="preserve">coach.warmup</t>
        </is>
      </c>
      <c r="D53" s="2" t="inlineStr">
        <is>
          <t xml:space="preserve">coach.warmup.4</t>
        </is>
      </c>
      <c r="E53" s="2" t="inlineStr">
        <is>
          <t xml:space="preserve">personal_trainer</t>
        </is>
      </c>
      <c r="F53" s="2" t="inlineStr">
        <is>
          <t xml:space="preserve">core</t>
        </is>
      </c>
      <c r="G53" s="2" t="inlineStr">
        <is>
          <t xml:space="preserve">Easy does it. Focus on breathing, not speed.</t>
        </is>
      </c>
      <c r="H53" s="2" t="inlineStr">
        <is>
          <t xml:space="preserve">Ta det med ro. Fokuser på pusten.</t>
        </is>
      </c>
      <c r="I53" s="3">
        <f>IF(LEN(TRIM(G53))=0,0,LEN(TRIM(G53))-LEN(SUBSTITUTE(TRIM(G53)," ",""))+1)</f>
      </c>
      <c r="J53" s="3">
        <f>IF(LEN(TRIM(H53))=0,0,LEN(TRIM(H53))-LEN(SUBSTITUTE(TRIM(H53)," ",""))+1)</f>
      </c>
      <c r="K53" s="3">
        <f>LEN(G53)</f>
      </c>
      <c r="L53" s="3">
        <f>LEN(H53)</f>
      </c>
      <c r="M53" s="3">
        <f>IF(COUNTIF($G:$G,G53)&gt;1,"DUP","")</f>
      </c>
      <c r="N53" s="3">
        <f>IF(COUNTIF($H:$H,H53)&gt;1,"DUP","")</f>
      </c>
      <c r="O53" s="3">
        <f>IF(LEFT(B53,LEN(C53))=C53,"OK","CHECK")</f>
      </c>
      <c r="P53" s="4" t="inlineStr">
        <is>
          <t xml:space="preserve">Review</t>
        </is>
      </c>
      <c r="Q53" s="4" t="inlineStr">
        <is>
          <t xml:space="preserve"/>
        </is>
      </c>
      <c r="R53" s="5">
        <f>IF(OR(M53="DUP",N53="DUP",O53="CHECK"),"CHECK","")</f>
      </c>
    </row>
    <row r="54">
      <c r="A54" s="2">
        <v>49</v>
      </c>
      <c r="B54" s="2" t="inlineStr">
        <is>
          <t xml:space="preserve">cont.cooldown.1</t>
        </is>
      </c>
      <c r="C54" s="2" t="inlineStr">
        <is>
          <t xml:space="preserve">cont.cooldown</t>
        </is>
      </c>
      <c r="D54" s="2" t="inlineStr">
        <is>
          <t xml:space="preserve">cont.cooldown.1</t>
        </is>
      </c>
      <c r="E54" s="2" t="inlineStr">
        <is>
          <t xml:space="preserve">personal_trainer</t>
        </is>
      </c>
      <c r="F54" s="2" t="inlineStr">
        <is>
          <t xml:space="preserve">core</t>
        </is>
      </c>
      <c r="G54" s="2" t="inlineStr">
        <is>
          <t xml:space="preserve">Bring it down, easy now.</t>
        </is>
      </c>
      <c r="H54" s="2" t="inlineStr">
        <is>
          <t xml:space="preserve">Senk tempoet, ta det rolig nå.</t>
        </is>
      </c>
      <c r="I54" s="3">
        <f>IF(LEN(TRIM(G54))=0,0,LEN(TRIM(G54))-LEN(SUBSTITUTE(TRIM(G54)," ",""))+1)</f>
      </c>
      <c r="J54" s="3">
        <f>IF(LEN(TRIM(H54))=0,0,LEN(TRIM(H54))-LEN(SUBSTITUTE(TRIM(H54)," ",""))+1)</f>
      </c>
      <c r="K54" s="3">
        <f>LEN(G54)</f>
      </c>
      <c r="L54" s="3">
        <f>LEN(H54)</f>
      </c>
      <c r="M54" s="3">
        <f>IF(COUNTIF($G:$G,G54)&gt;1,"DUP","")</f>
      </c>
      <c r="N54" s="3">
        <f>IF(COUNTIF($H:$H,H54)&gt;1,"DUP","")</f>
      </c>
      <c r="O54" s="3">
        <f>IF(LEFT(B54,LEN(C54))=C54,"OK","CHECK")</f>
      </c>
      <c r="P54" s="4" t="inlineStr">
        <is>
          <t xml:space="preserve">Review</t>
        </is>
      </c>
      <c r="Q54" s="4" t="inlineStr">
        <is>
          <t xml:space="preserve"/>
        </is>
      </c>
      <c r="R54" s="5">
        <f>IF(OR(M54="DUP",N54="DUP",O54="CHECK"),"CHECK","")</f>
      </c>
    </row>
    <row r="55">
      <c r="A55" s="2">
        <v>50</v>
      </c>
      <c r="B55" s="2" t="inlineStr">
        <is>
          <t xml:space="preserve">cont.cooldown.2</t>
        </is>
      </c>
      <c r="C55" s="2" t="inlineStr">
        <is>
          <t xml:space="preserve">cont.cooldown</t>
        </is>
      </c>
      <c r="D55" s="2" t="inlineStr">
        <is>
          <t xml:space="preserve">cont.cooldown.2</t>
        </is>
      </c>
      <c r="E55" s="2" t="inlineStr">
        <is>
          <t xml:space="preserve">personal_trainer</t>
        </is>
      </c>
      <c r="F55" s="2" t="inlineStr">
        <is>
          <t xml:space="preserve">core</t>
        </is>
      </c>
      <c r="G55" s="2" t="inlineStr">
        <is>
          <t xml:space="preserve">Slow breaths, good cooldown.</t>
        </is>
      </c>
      <c r="H55" s="2" t="inlineStr">
        <is>
          <t xml:space="preserve">Rolige pust, god nedkjøling.</t>
        </is>
      </c>
      <c r="I55" s="3">
        <f>IF(LEN(TRIM(G55))=0,0,LEN(TRIM(G55))-LEN(SUBSTITUTE(TRIM(G55)," ",""))+1)</f>
      </c>
      <c r="J55" s="3">
        <f>IF(LEN(TRIM(H55))=0,0,LEN(TRIM(H55))-LEN(SUBSTITUTE(TRIM(H55)," ",""))+1)</f>
      </c>
      <c r="K55" s="3">
        <f>LEN(G55)</f>
      </c>
      <c r="L55" s="3">
        <f>LEN(H55)</f>
      </c>
      <c r="M55" s="3">
        <f>IF(COUNTIF($G:$G,G55)&gt;1,"DUP","")</f>
      </c>
      <c r="N55" s="3">
        <f>IF(COUNTIF($H:$H,H55)&gt;1,"DUP","")</f>
      </c>
      <c r="O55" s="3">
        <f>IF(LEFT(B55,LEN(C55))=C55,"OK","CHECK")</f>
      </c>
      <c r="P55" s="4" t="inlineStr">
        <is>
          <t xml:space="preserve">Review</t>
        </is>
      </c>
      <c r="Q55" s="4" t="inlineStr">
        <is>
          <t xml:space="preserve"/>
        </is>
      </c>
      <c r="R55" s="5">
        <f>IF(OR(M55="DUP",N55="DUP",O55="CHECK"),"CHECK","")</f>
      </c>
    </row>
    <row r="56">
      <c r="A56" s="2">
        <v>51</v>
      </c>
      <c r="B56" s="2" t="inlineStr">
        <is>
          <t xml:space="preserve">cont.cooldown.3</t>
        </is>
      </c>
      <c r="C56" s="2" t="inlineStr">
        <is>
          <t xml:space="preserve">cont.cooldown</t>
        </is>
      </c>
      <c r="D56" s="2" t="inlineStr">
        <is>
          <t xml:space="preserve">cont.cooldown.3</t>
        </is>
      </c>
      <c r="E56" s="2" t="inlineStr">
        <is>
          <t xml:space="preserve">personal_trainer</t>
        </is>
      </c>
      <c r="F56" s="2" t="inlineStr">
        <is>
          <t xml:space="preserve">core</t>
        </is>
      </c>
      <c r="G56" s="2" t="inlineStr">
        <is>
          <t xml:space="preserve">Ease off, nice work.</t>
        </is>
      </c>
      <c r="H56" s="2" t="inlineStr">
        <is>
          <t xml:space="preserve">Slipp av, bra jobbet.</t>
        </is>
      </c>
      <c r="I56" s="3">
        <f>IF(LEN(TRIM(G56))=0,0,LEN(TRIM(G56))-LEN(SUBSTITUTE(TRIM(G56)," ",""))+1)</f>
      </c>
      <c r="J56" s="3">
        <f>IF(LEN(TRIM(H56))=0,0,LEN(TRIM(H56))-LEN(SUBSTITUTE(TRIM(H56)," ",""))+1)</f>
      </c>
      <c r="K56" s="3">
        <f>LEN(G56)</f>
      </c>
      <c r="L56" s="3">
        <f>LEN(H56)</f>
      </c>
      <c r="M56" s="3">
        <f>IF(COUNTIF($G:$G,G56)&gt;1,"DUP","")</f>
      </c>
      <c r="N56" s="3">
        <f>IF(COUNTIF($H:$H,H56)&gt;1,"DUP","")</f>
      </c>
      <c r="O56" s="3">
        <f>IF(LEFT(B56,LEN(C56))=C56,"OK","CHECK")</f>
      </c>
      <c r="P56" s="4" t="inlineStr">
        <is>
          <t xml:space="preserve">Review</t>
        </is>
      </c>
      <c r="Q56" s="4" t="inlineStr">
        <is>
          <t xml:space="preserve"/>
        </is>
      </c>
      <c r="R56" s="5">
        <f>IF(OR(M56="DUP",N56="DUP",O56="CHECK"),"CHECK","")</f>
      </c>
    </row>
    <row r="57">
      <c r="A57" s="2">
        <v>52</v>
      </c>
      <c r="B57" s="2" t="inlineStr">
        <is>
          <t xml:space="preserve">cont.cooldown.4</t>
        </is>
      </c>
      <c r="C57" s="2" t="inlineStr">
        <is>
          <t xml:space="preserve">cont.cooldown</t>
        </is>
      </c>
      <c r="D57" s="2" t="inlineStr">
        <is>
          <t xml:space="preserve">cont.cooldown.4</t>
        </is>
      </c>
      <c r="E57" s="2" t="inlineStr">
        <is>
          <t xml:space="preserve">personal_trainer</t>
        </is>
      </c>
      <c r="F57" s="2" t="inlineStr">
        <is>
          <t xml:space="preserve">core</t>
        </is>
      </c>
      <c r="G57" s="2" t="inlineStr">
        <is>
          <t xml:space="preserve">Almost done, slow it.</t>
        </is>
      </c>
      <c r="H57" s="2" t="inlineStr">
        <is>
          <t xml:space="preserve">Nesten ferdig, senk farten.</t>
        </is>
      </c>
      <c r="I57" s="3">
        <f>IF(LEN(TRIM(G57))=0,0,LEN(TRIM(G57))-LEN(SUBSTITUTE(TRIM(G57)," ",""))+1)</f>
      </c>
      <c r="J57" s="3">
        <f>IF(LEN(TRIM(H57))=0,0,LEN(TRIM(H57))-LEN(SUBSTITUTE(TRIM(H57)," ",""))+1)</f>
      </c>
      <c r="K57" s="3">
        <f>LEN(G57)</f>
      </c>
      <c r="L57" s="3">
        <f>LEN(H57)</f>
      </c>
      <c r="M57" s="3">
        <f>IF(COUNTIF($G:$G,G57)&gt;1,"DUP","")</f>
      </c>
      <c r="N57" s="3">
        <f>IF(COUNTIF($H:$H,H57)&gt;1,"DUP","")</f>
      </c>
      <c r="O57" s="3">
        <f>IF(LEFT(B57,LEN(C57))=C57,"OK","CHECK")</f>
      </c>
      <c r="P57" s="4" t="inlineStr">
        <is>
          <t xml:space="preserve">Review</t>
        </is>
      </c>
      <c r="Q57" s="4" t="inlineStr">
        <is>
          <t xml:space="preserve"/>
        </is>
      </c>
      <c r="R57" s="5">
        <f>IF(OR(M57="DUP",N57="DUP",O57="CHECK"),"CHECK","")</f>
      </c>
    </row>
    <row r="58">
      <c r="A58" s="2">
        <v>53</v>
      </c>
      <c r="B58" s="2" t="inlineStr">
        <is>
          <t xml:space="preserve">cont.cooldown.5</t>
        </is>
      </c>
      <c r="C58" s="2" t="inlineStr">
        <is>
          <t xml:space="preserve">cont.cooldown</t>
        </is>
      </c>
      <c r="D58" s="2" t="inlineStr">
        <is>
          <t xml:space="preserve">cont.cooldown.5</t>
        </is>
      </c>
      <c r="E58" s="2" t="inlineStr">
        <is>
          <t xml:space="preserve">personal_trainer</t>
        </is>
      </c>
      <c r="F58" s="2" t="inlineStr">
        <is>
          <t xml:space="preserve">core</t>
        </is>
      </c>
      <c r="G58" s="2" t="inlineStr">
        <is>
          <t xml:space="preserve">Perfect, keep slowing down.</t>
        </is>
      </c>
      <c r="H58" s="2" t="inlineStr">
        <is>
          <t xml:space="preserve">Perfekt, fortsett å roe ned.</t>
        </is>
      </c>
      <c r="I58" s="3">
        <f>IF(LEN(TRIM(G58))=0,0,LEN(TRIM(G58))-LEN(SUBSTITUTE(TRIM(G58)," ",""))+1)</f>
      </c>
      <c r="J58" s="3">
        <f>IF(LEN(TRIM(H58))=0,0,LEN(TRIM(H58))-LEN(SUBSTITUTE(TRIM(H58)," ",""))+1)</f>
      </c>
      <c r="K58" s="3">
        <f>LEN(G58)</f>
      </c>
      <c r="L58" s="3">
        <f>LEN(H58)</f>
      </c>
      <c r="M58" s="3">
        <f>IF(COUNTIF($G:$G,G58)&gt;1,"DUP","")</f>
      </c>
      <c r="N58" s="3">
        <f>IF(COUNTIF($H:$H,H58)&gt;1,"DUP","")</f>
      </c>
      <c r="O58" s="3">
        <f>IF(LEFT(B58,LEN(C58))=C58,"OK","CHECK")</f>
      </c>
      <c r="P58" s="4" t="inlineStr">
        <is>
          <t xml:space="preserve">Review</t>
        </is>
      </c>
      <c r="Q58" s="4" t="inlineStr">
        <is>
          <t xml:space="preserve"/>
        </is>
      </c>
      <c r="R58" s="5">
        <f>IF(OR(M58="DUP",N58="DUP",O58="CHECK"),"CHECK","")</f>
      </c>
    </row>
    <row r="59">
      <c r="A59" s="2">
        <v>39</v>
      </c>
      <c r="B59" s="2" t="inlineStr">
        <is>
          <t xml:space="preserve">cont.critical.1</t>
        </is>
      </c>
      <c r="C59" s="2" t="inlineStr">
        <is>
          <t xml:space="preserve">cont.critical</t>
        </is>
      </c>
      <c r="D59" s="2" t="inlineStr">
        <is>
          <t xml:space="preserve">cont.critical.1</t>
        </is>
      </c>
      <c r="E59" s="2" t="inlineStr">
        <is>
          <t xml:space="preserve">personal_trainer</t>
        </is>
      </c>
      <c r="F59" s="2" t="inlineStr">
        <is>
          <t xml:space="preserve">core</t>
        </is>
      </c>
      <c r="G59" s="2" t="inlineStr">
        <is>
          <t xml:space="preserve">STOP!</t>
        </is>
      </c>
      <c r="H59" s="2" t="inlineStr">
        <is>
          <t xml:space="preserve">STOPP!</t>
        </is>
      </c>
      <c r="I59" s="3">
        <f>IF(LEN(TRIM(G59))=0,0,LEN(TRIM(G59))-LEN(SUBSTITUTE(TRIM(G59)," ",""))+1)</f>
      </c>
      <c r="J59" s="3">
        <f>IF(LEN(TRIM(H59))=0,0,LEN(TRIM(H59))-LEN(SUBSTITUTE(TRIM(H59)," ",""))+1)</f>
      </c>
      <c r="K59" s="3">
        <f>LEN(G59)</f>
      </c>
      <c r="L59" s="3">
        <f>LEN(H59)</f>
      </c>
      <c r="M59" s="3">
        <f>IF(COUNTIF($G:$G,G59)&gt;1,"DUP","")</f>
      </c>
      <c r="N59" s="3">
        <f>IF(COUNTIF($H:$H,H59)&gt;1,"DUP","")</f>
      </c>
      <c r="O59" s="3">
        <f>IF(LEFT(B59,LEN(C59))=C59,"OK","CHECK")</f>
      </c>
      <c r="P59" s="4" t="inlineStr">
        <is>
          <t xml:space="preserve">Review</t>
        </is>
      </c>
      <c r="Q59" s="4" t="inlineStr">
        <is>
          <t xml:space="preserve"/>
        </is>
      </c>
      <c r="R59" s="5">
        <f>IF(OR(M59="DUP",N59="DUP",O59="CHECK"),"CHECK","")</f>
      </c>
    </row>
    <row r="60">
      <c r="A60" s="2">
        <v>40</v>
      </c>
      <c r="B60" s="2" t="inlineStr">
        <is>
          <t xml:space="preserve">cont.critical.2</t>
        </is>
      </c>
      <c r="C60" s="2" t="inlineStr">
        <is>
          <t xml:space="preserve">cont.critical</t>
        </is>
      </c>
      <c r="D60" s="2" t="inlineStr">
        <is>
          <t xml:space="preserve">cont.critical.2</t>
        </is>
      </c>
      <c r="E60" s="2" t="inlineStr">
        <is>
          <t xml:space="preserve">personal_trainer</t>
        </is>
      </c>
      <c r="F60" s="2" t="inlineStr">
        <is>
          <t xml:space="preserve">core</t>
        </is>
      </c>
      <c r="G60" s="2" t="inlineStr">
        <is>
          <t xml:space="preserve">Breathe slow!</t>
        </is>
      </c>
      <c r="H60" s="2" t="inlineStr">
        <is>
          <t xml:space="preserve">Pust rolig!</t>
        </is>
      </c>
      <c r="I60" s="3">
        <f>IF(LEN(TRIM(G60))=0,0,LEN(TRIM(G60))-LEN(SUBSTITUTE(TRIM(G60)," ",""))+1)</f>
      </c>
      <c r="J60" s="3">
        <f>IF(LEN(TRIM(H60))=0,0,LEN(TRIM(H60))-LEN(SUBSTITUTE(TRIM(H60)," ",""))+1)</f>
      </c>
      <c r="K60" s="3">
        <f>LEN(G60)</f>
      </c>
      <c r="L60" s="3">
        <f>LEN(H60)</f>
      </c>
      <c r="M60" s="3">
        <f>IF(COUNTIF($G:$G,G60)&gt;1,"DUP","")</f>
      </c>
      <c r="N60" s="3">
        <f>IF(COUNTIF($H:$H,H60)&gt;1,"DUP","")</f>
      </c>
      <c r="O60" s="3">
        <f>IF(LEFT(B60,LEN(C60))=C60,"OK","CHECK")</f>
      </c>
      <c r="P60" s="4" t="inlineStr">
        <is>
          <t xml:space="preserve">Review</t>
        </is>
      </c>
      <c r="Q60" s="4" t="inlineStr">
        <is>
          <t xml:space="preserve"/>
        </is>
      </c>
      <c r="R60" s="5">
        <f>IF(OR(M60="DUP",N60="DUP",O60="CHECK"),"CHECK","")</f>
      </c>
    </row>
    <row r="61">
      <c r="A61" s="2">
        <v>41</v>
      </c>
      <c r="B61" s="2" t="inlineStr">
        <is>
          <t xml:space="preserve">cont.critical.3</t>
        </is>
      </c>
      <c r="C61" s="2" t="inlineStr">
        <is>
          <t xml:space="preserve">cont.critical</t>
        </is>
      </c>
      <c r="D61" s="2" t="inlineStr">
        <is>
          <t xml:space="preserve">cont.critical.3</t>
        </is>
      </c>
      <c r="E61" s="2" t="inlineStr">
        <is>
          <t xml:space="preserve">personal_trainer</t>
        </is>
      </c>
      <c r="F61" s="2" t="inlineStr">
        <is>
          <t xml:space="preserve">core</t>
        </is>
      </c>
      <c r="G61" s="2" t="inlineStr">
        <is>
          <t xml:space="preserve">Easy now!</t>
        </is>
      </c>
      <c r="H61" s="2" t="inlineStr">
        <is>
          <t xml:space="preserve">Ta det rolig!</t>
        </is>
      </c>
      <c r="I61" s="3">
        <f>IF(LEN(TRIM(G61))=0,0,LEN(TRIM(G61))-LEN(SUBSTITUTE(TRIM(G61)," ",""))+1)</f>
      </c>
      <c r="J61" s="3">
        <f>IF(LEN(TRIM(H61))=0,0,LEN(TRIM(H61))-LEN(SUBSTITUTE(TRIM(H61)," ",""))+1)</f>
      </c>
      <c r="K61" s="3">
        <f>LEN(G61)</f>
      </c>
      <c r="L61" s="3">
        <f>LEN(H61)</f>
      </c>
      <c r="M61" s="3">
        <f>IF(COUNTIF($G:$G,G61)&gt;1,"DUP","")</f>
      </c>
      <c r="N61" s="3">
        <f>IF(COUNTIF($H:$H,H61)&gt;1,"DUP","")</f>
      </c>
      <c r="O61" s="3">
        <f>IF(LEFT(B61,LEN(C61))=C61,"OK","CHECK")</f>
      </c>
      <c r="P61" s="4" t="inlineStr">
        <is>
          <t xml:space="preserve">Review</t>
        </is>
      </c>
      <c r="Q61" s="4" t="inlineStr">
        <is>
          <t xml:space="preserve"/>
        </is>
      </c>
      <c r="R61" s="5">
        <f>IF(OR(M61="DUP",N61="DUP",O61="CHECK"),"CHECK","")</f>
      </c>
    </row>
    <row r="62">
      <c r="A62" s="2">
        <v>42</v>
      </c>
      <c r="B62" s="2" t="inlineStr">
        <is>
          <t xml:space="preserve">cont.critical.4</t>
        </is>
      </c>
      <c r="C62" s="2" t="inlineStr">
        <is>
          <t xml:space="preserve">cont.critical</t>
        </is>
      </c>
      <c r="D62" s="2" t="inlineStr">
        <is>
          <t xml:space="preserve">cont.critical.4</t>
        </is>
      </c>
      <c r="E62" s="2" t="inlineStr">
        <is>
          <t xml:space="preserve">personal_trainer</t>
        </is>
      </c>
      <c r="F62" s="2" t="inlineStr">
        <is>
          <t xml:space="preserve">core</t>
        </is>
      </c>
      <c r="G62" s="2" t="inlineStr">
        <is>
          <t xml:space="preserve">Slow down!</t>
        </is>
      </c>
      <c r="H62" s="2" t="inlineStr">
        <is>
          <t xml:space="preserve">Senk farten!</t>
        </is>
      </c>
      <c r="I62" s="3">
        <f>IF(LEN(TRIM(G62))=0,0,LEN(TRIM(G62))-LEN(SUBSTITUTE(TRIM(G62)," ",""))+1)</f>
      </c>
      <c r="J62" s="3">
        <f>IF(LEN(TRIM(H62))=0,0,LEN(TRIM(H62))-LEN(SUBSTITUTE(TRIM(H62)," ",""))+1)</f>
      </c>
      <c r="K62" s="3">
        <f>LEN(G62)</f>
      </c>
      <c r="L62" s="3">
        <f>LEN(H62)</f>
      </c>
      <c r="M62" s="3">
        <f>IF(COUNTIF($G:$G,G62)&gt;1,"DUP","")</f>
      </c>
      <c r="N62" s="3">
        <f>IF(COUNTIF($H:$H,H62)&gt;1,"DUP","")</f>
      </c>
      <c r="O62" s="3">
        <f>IF(LEFT(B62,LEN(C62))=C62,"OK","CHECK")</f>
      </c>
      <c r="P62" s="4" t="inlineStr">
        <is>
          <t xml:space="preserve">Review</t>
        </is>
      </c>
      <c r="Q62" s="4" t="inlineStr">
        <is>
          <t xml:space="preserve"/>
        </is>
      </c>
      <c r="R62" s="5">
        <f>IF(OR(M62="DUP",N62="DUP",O62="CHECK"),"CHECK","")</f>
      </c>
    </row>
    <row r="63">
      <c r="A63" s="2">
        <v>43</v>
      </c>
      <c r="B63" s="2" t="inlineStr">
        <is>
          <t xml:space="preserve">cont.critical.5</t>
        </is>
      </c>
      <c r="C63" s="2" t="inlineStr">
        <is>
          <t xml:space="preserve">cont.critical</t>
        </is>
      </c>
      <c r="D63" s="2" t="inlineStr">
        <is>
          <t xml:space="preserve">cont.critical.5</t>
        </is>
      </c>
      <c r="E63" s="2" t="inlineStr">
        <is>
          <t xml:space="preserve">personal_trainer</t>
        </is>
      </c>
      <c r="F63" s="2" t="inlineStr">
        <is>
          <t xml:space="preserve">core</t>
        </is>
      </c>
      <c r="G63" s="2" t="inlineStr">
        <is>
          <t xml:space="preserve">Too hard!</t>
        </is>
      </c>
      <c r="H63" s="2" t="inlineStr">
        <is>
          <t xml:space="preserve">For hardt!</t>
        </is>
      </c>
      <c r="I63" s="3">
        <f>IF(LEN(TRIM(G63))=0,0,LEN(TRIM(G63))-LEN(SUBSTITUTE(TRIM(G63)," ",""))+1)</f>
      </c>
      <c r="J63" s="3">
        <f>IF(LEN(TRIM(H63))=0,0,LEN(TRIM(H63))-LEN(SUBSTITUTE(TRIM(H63)," ",""))+1)</f>
      </c>
      <c r="K63" s="3">
        <f>LEN(G63)</f>
      </c>
      <c r="L63" s="3">
        <f>LEN(H63)</f>
      </c>
      <c r="M63" s="3">
        <f>IF(COUNTIF($G:$G,G63)&gt;1,"DUP","")</f>
      </c>
      <c r="N63" s="3">
        <f>IF(COUNTIF($H:$H,H63)&gt;1,"DUP","")</f>
      </c>
      <c r="O63" s="3">
        <f>IF(LEFT(B63,LEN(C63))=C63,"OK","CHECK")</f>
      </c>
      <c r="P63" s="4" t="inlineStr">
        <is>
          <t xml:space="preserve">Review</t>
        </is>
      </c>
      <c r="Q63" s="4" t="inlineStr">
        <is>
          <t xml:space="preserve"/>
        </is>
      </c>
      <c r="R63" s="5">
        <f>IF(OR(M63="DUP",N63="DUP",O63="CHECK"),"CHECK","")</f>
      </c>
    </row>
    <row r="64">
      <c r="A64" s="2">
        <v>54</v>
      </c>
      <c r="B64" s="2" t="inlineStr">
        <is>
          <t xml:space="preserve">cont.intense.calm.1</t>
        </is>
      </c>
      <c r="C64" s="2" t="inlineStr">
        <is>
          <t xml:space="preserve">cont.intense</t>
        </is>
      </c>
      <c r="D64" s="2" t="inlineStr">
        <is>
          <t xml:space="preserve">cont.intense.calm</t>
        </is>
      </c>
      <c r="E64" s="2" t="inlineStr">
        <is>
          <t xml:space="preserve">personal_trainer</t>
        </is>
      </c>
      <c r="F64" s="2" t="inlineStr">
        <is>
          <t xml:space="preserve">core</t>
        </is>
      </c>
      <c r="G64" s="2" t="inlineStr">
        <is>
          <t xml:space="preserve">You can push harder!</t>
        </is>
      </c>
      <c r="H64" s="2" t="inlineStr">
        <is>
          <t xml:space="preserve">Du kan presse hardere!</t>
        </is>
      </c>
      <c r="I64" s="3">
        <f>IF(LEN(TRIM(G64))=0,0,LEN(TRIM(G64))-LEN(SUBSTITUTE(TRIM(G64)," ",""))+1)</f>
      </c>
      <c r="J64" s="3">
        <f>IF(LEN(TRIM(H64))=0,0,LEN(TRIM(H64))-LEN(SUBSTITUTE(TRIM(H64)," ",""))+1)</f>
      </c>
      <c r="K64" s="3">
        <f>LEN(G64)</f>
      </c>
      <c r="L64" s="3">
        <f>LEN(H64)</f>
      </c>
      <c r="M64" s="3">
        <f>IF(COUNTIF($G:$G,G64)&gt;1,"DUP","")</f>
      </c>
      <c r="N64" s="3">
        <f>IF(COUNTIF($H:$H,H64)&gt;1,"DUP","")</f>
      </c>
      <c r="O64" s="3">
        <f>IF(LEFT(B64,LEN(C64))=C64,"OK","CHECK")</f>
      </c>
      <c r="P64" s="4" t="inlineStr">
        <is>
          <t xml:space="preserve">Review</t>
        </is>
      </c>
      <c r="Q64" s="4" t="inlineStr">
        <is>
          <t xml:space="preserve"/>
        </is>
      </c>
      <c r="R64" s="5">
        <f>IF(OR(M64="DUP",N64="DUP",O64="CHECK"),"CHECK","")</f>
      </c>
    </row>
    <row r="65">
      <c r="A65" s="2">
        <v>55</v>
      </c>
      <c r="B65" s="2" t="inlineStr">
        <is>
          <t xml:space="preserve">cont.intense.calm.2</t>
        </is>
      </c>
      <c r="C65" s="2" t="inlineStr">
        <is>
          <t xml:space="preserve">cont.intense</t>
        </is>
      </c>
      <c r="D65" s="2" t="inlineStr">
        <is>
          <t xml:space="preserve">cont.intense.calm</t>
        </is>
      </c>
      <c r="E65" s="2" t="inlineStr">
        <is>
          <t xml:space="preserve">personal_trainer</t>
        </is>
      </c>
      <c r="F65" s="2" t="inlineStr">
        <is>
          <t xml:space="preserve">core</t>
        </is>
      </c>
      <c r="G65" s="2" t="inlineStr">
        <is>
          <t xml:space="preserve">More effort, you got this!</t>
        </is>
      </c>
      <c r="H65" s="2" t="inlineStr">
        <is>
          <t xml:space="preserve">Mer innsats, du klarer det!</t>
        </is>
      </c>
      <c r="I65" s="3">
        <f>IF(LEN(TRIM(G65))=0,0,LEN(TRIM(G65))-LEN(SUBSTITUTE(TRIM(G65)," ",""))+1)</f>
      </c>
      <c r="J65" s="3">
        <f>IF(LEN(TRIM(H65))=0,0,LEN(TRIM(H65))-LEN(SUBSTITUTE(TRIM(H65)," ",""))+1)</f>
      </c>
      <c r="K65" s="3">
        <f>LEN(G65)</f>
      </c>
      <c r="L65" s="3">
        <f>LEN(H65)</f>
      </c>
      <c r="M65" s="3">
        <f>IF(COUNTIF($G:$G,G65)&gt;1,"DUP","")</f>
      </c>
      <c r="N65" s="3">
        <f>IF(COUNTIF($H:$H,H65)&gt;1,"DUP","")</f>
      </c>
      <c r="O65" s="3">
        <f>IF(LEFT(B65,LEN(C65))=C65,"OK","CHECK")</f>
      </c>
      <c r="P65" s="4" t="inlineStr">
        <is>
          <t xml:space="preserve">Review</t>
        </is>
      </c>
      <c r="Q65" s="4" t="inlineStr">
        <is>
          <t xml:space="preserve"/>
        </is>
      </c>
      <c r="R65" s="5">
        <f>IF(OR(M65="DUP",N65="DUP",O65="CHECK"),"CHECK","")</f>
      </c>
    </row>
    <row r="66">
      <c r="A66" s="2">
        <v>56</v>
      </c>
      <c r="B66" s="2" t="inlineStr">
        <is>
          <t xml:space="preserve">cont.intense.calm.3</t>
        </is>
      </c>
      <c r="C66" s="2" t="inlineStr">
        <is>
          <t xml:space="preserve">cont.intense</t>
        </is>
      </c>
      <c r="D66" s="2" t="inlineStr">
        <is>
          <t xml:space="preserve">cont.intense.calm</t>
        </is>
      </c>
      <c r="E66" s="2" t="inlineStr">
        <is>
          <t xml:space="preserve">personal_trainer</t>
        </is>
      </c>
      <c r="F66" s="2" t="inlineStr">
        <is>
          <t xml:space="preserve">core</t>
        </is>
      </c>
      <c r="G66" s="2" t="inlineStr">
        <is>
          <t xml:space="preserve">Speed up a bit!</t>
        </is>
      </c>
      <c r="H66" s="2" t="inlineStr">
        <is>
          <t xml:space="preserve">Øk tempoet.</t>
        </is>
      </c>
      <c r="I66" s="3">
        <f>IF(LEN(TRIM(G66))=0,0,LEN(TRIM(G66))-LEN(SUBSTITUTE(TRIM(G66)," ",""))+1)</f>
      </c>
      <c r="J66" s="3">
        <f>IF(LEN(TRIM(H66))=0,0,LEN(TRIM(H66))-LEN(SUBSTITUTE(TRIM(H66)," ",""))+1)</f>
      </c>
      <c r="K66" s="3">
        <f>LEN(G66)</f>
      </c>
      <c r="L66" s="3">
        <f>LEN(H66)</f>
      </c>
      <c r="M66" s="3">
        <f>IF(COUNTIF($G:$G,G66)&gt;1,"DUP","")</f>
      </c>
      <c r="N66" s="3">
        <f>IF(COUNTIF($H:$H,H66)&gt;1,"DUP","")</f>
      </c>
      <c r="O66" s="3">
        <f>IF(LEFT(B66,LEN(C66))=C66,"OK","CHECK")</f>
      </c>
      <c r="P66" s="4" t="inlineStr">
        <is>
          <t xml:space="preserve">Review</t>
        </is>
      </c>
      <c r="Q66" s="4" t="inlineStr">
        <is>
          <t xml:space="preserve"/>
        </is>
      </c>
      <c r="R66" s="5">
        <f>IF(OR(M66="DUP",N66="DUP",O66="CHECK"),"CHECK","")</f>
      </c>
    </row>
    <row r="67">
      <c r="A67" s="2">
        <v>57</v>
      </c>
      <c r="B67" s="2" t="inlineStr">
        <is>
          <t xml:space="preserve">cont.intense.calm.4</t>
        </is>
      </c>
      <c r="C67" s="2" t="inlineStr">
        <is>
          <t xml:space="preserve">cont.intense</t>
        </is>
      </c>
      <c r="D67" s="2" t="inlineStr">
        <is>
          <t xml:space="preserve">cont.intense.calm</t>
        </is>
      </c>
      <c r="E67" s="2" t="inlineStr">
        <is>
          <t xml:space="preserve">personal_trainer</t>
        </is>
      </c>
      <c r="F67" s="2" t="inlineStr">
        <is>
          <t xml:space="preserve">core</t>
        </is>
      </c>
      <c r="G67" s="2" t="inlineStr">
        <is>
          <t xml:space="preserve">Give me more power!</t>
        </is>
      </c>
      <c r="H67" s="2" t="inlineStr">
        <is>
          <t xml:space="preserve">Mer press nå!</t>
        </is>
      </c>
      <c r="I67" s="3">
        <f>IF(LEN(TRIM(G67))=0,0,LEN(TRIM(G67))-LEN(SUBSTITUTE(TRIM(G67)," ",""))+1)</f>
      </c>
      <c r="J67" s="3">
        <f>IF(LEN(TRIM(H67))=0,0,LEN(TRIM(H67))-LEN(SUBSTITUTE(TRIM(H67)," ",""))+1)</f>
      </c>
      <c r="K67" s="3">
        <f>LEN(G67)</f>
      </c>
      <c r="L67" s="3">
        <f>LEN(H67)</f>
      </c>
      <c r="M67" s="3">
        <f>IF(COUNTIF($G:$G,G67)&gt;1,"DUP","")</f>
      </c>
      <c r="N67" s="3">
        <f>IF(COUNTIF($H:$H,H67)&gt;1,"DUP","")</f>
      </c>
      <c r="O67" s="3">
        <f>IF(LEFT(B67,LEN(C67))=C67,"OK","CHECK")</f>
      </c>
      <c r="P67" s="4" t="inlineStr">
        <is>
          <t xml:space="preserve">Review</t>
        </is>
      </c>
      <c r="Q67" s="4" t="inlineStr">
        <is>
          <t xml:space="preserve"/>
        </is>
      </c>
      <c r="R67" s="5">
        <f>IF(OR(M67="DUP",N67="DUP",O67="CHECK"),"CHECK","")</f>
      </c>
    </row>
    <row r="68">
      <c r="A68" s="2">
        <v>58</v>
      </c>
      <c r="B68" s="2" t="inlineStr">
        <is>
          <t xml:space="preserve">cont.intense.calm.5</t>
        </is>
      </c>
      <c r="C68" s="2" t="inlineStr">
        <is>
          <t xml:space="preserve">cont.intense</t>
        </is>
      </c>
      <c r="D68" s="2" t="inlineStr">
        <is>
          <t xml:space="preserve">cont.intense.calm</t>
        </is>
      </c>
      <c r="E68" s="2" t="inlineStr">
        <is>
          <t xml:space="preserve">personal_trainer</t>
        </is>
      </c>
      <c r="F68" s="2" t="inlineStr">
        <is>
          <t xml:space="preserve">core</t>
        </is>
      </c>
      <c r="G68" s="2" t="inlineStr">
        <is>
          <t xml:space="preserve">Let's pick up the pace!</t>
        </is>
      </c>
      <c r="H68" s="2" t="inlineStr">
        <is>
          <t xml:space="preserve">La oss øke farten!</t>
        </is>
      </c>
      <c r="I68" s="3">
        <f>IF(LEN(TRIM(G68))=0,0,LEN(TRIM(G68))-LEN(SUBSTITUTE(TRIM(G68)," ",""))+1)</f>
      </c>
      <c r="J68" s="3">
        <f>IF(LEN(TRIM(H68))=0,0,LEN(TRIM(H68))-LEN(SUBSTITUTE(TRIM(H68)," ",""))+1)</f>
      </c>
      <c r="K68" s="3">
        <f>LEN(G68)</f>
      </c>
      <c r="L68" s="3">
        <f>LEN(H68)</f>
      </c>
      <c r="M68" s="3">
        <f>IF(COUNTIF($G:$G,G68)&gt;1,"DUP","")</f>
      </c>
      <c r="N68" s="3">
        <f>IF(COUNTIF($H:$H,H68)&gt;1,"DUP","")</f>
      </c>
      <c r="O68" s="3">
        <f>IF(LEFT(B68,LEN(C68))=C68,"OK","CHECK")</f>
      </c>
      <c r="P68" s="4" t="inlineStr">
        <is>
          <t xml:space="preserve">Review</t>
        </is>
      </c>
      <c r="Q68" s="4" t="inlineStr">
        <is>
          <t xml:space="preserve"/>
        </is>
      </c>
      <c r="R68" s="5">
        <f>IF(OR(M68="DUP",N68="DUP",O68="CHECK"),"CHECK","")</f>
      </c>
    </row>
    <row r="69">
      <c r="A69" s="2">
        <v>64</v>
      </c>
      <c r="B69" s="2" t="inlineStr">
        <is>
          <t xml:space="preserve">cont.intense.intense.1</t>
        </is>
      </c>
      <c r="C69" s="2" t="inlineStr">
        <is>
          <t xml:space="preserve">cont.intense</t>
        </is>
      </c>
      <c r="D69" s="2" t="inlineStr">
        <is>
          <t xml:space="preserve">cont.intense.intense</t>
        </is>
      </c>
      <c r="E69" s="2" t="inlineStr">
        <is>
          <t xml:space="preserve">personal_trainer</t>
        </is>
      </c>
      <c r="F69" s="2" t="inlineStr">
        <is>
          <t xml:space="preserve">core</t>
        </is>
      </c>
      <c r="G69" s="2" t="inlineStr">
        <is>
          <t xml:space="preserve">Perfect! Hold it!</t>
        </is>
      </c>
      <c r="H69" s="2" t="inlineStr">
        <is>
          <t xml:space="preserve">Perfekt! Hold tempoet!</t>
        </is>
      </c>
      <c r="I69" s="3">
        <f>IF(LEN(TRIM(G69))=0,0,LEN(TRIM(G69))-LEN(SUBSTITUTE(TRIM(G69)," ",""))+1)</f>
      </c>
      <c r="J69" s="3">
        <f>IF(LEN(TRIM(H69))=0,0,LEN(TRIM(H69))-LEN(SUBSTITUTE(TRIM(H69)," ",""))+1)</f>
      </c>
      <c r="K69" s="3">
        <f>LEN(G69)</f>
      </c>
      <c r="L69" s="3">
        <f>LEN(H69)</f>
      </c>
      <c r="M69" s="3">
        <f>IF(COUNTIF($G:$G,G69)&gt;1,"DUP","")</f>
      </c>
      <c r="N69" s="3">
        <f>IF(COUNTIF($H:$H,H69)&gt;1,"DUP","")</f>
      </c>
      <c r="O69" s="3">
        <f>IF(LEFT(B69,LEN(C69))=C69,"OK","CHECK")</f>
      </c>
      <c r="P69" s="4" t="inlineStr">
        <is>
          <t xml:space="preserve">Review</t>
        </is>
      </c>
      <c r="Q69" s="4" t="inlineStr">
        <is>
          <t xml:space="preserve"/>
        </is>
      </c>
      <c r="R69" s="5">
        <f>IF(OR(M69="DUP",N69="DUP",O69="CHECK"),"CHECK","")</f>
      </c>
    </row>
    <row r="70">
      <c r="A70" s="2">
        <v>65</v>
      </c>
      <c r="B70" s="2" t="inlineStr">
        <is>
          <t xml:space="preserve">cont.intense.intense.2</t>
        </is>
      </c>
      <c r="C70" s="2" t="inlineStr">
        <is>
          <t xml:space="preserve">cont.intense</t>
        </is>
      </c>
      <c r="D70" s="2" t="inlineStr">
        <is>
          <t xml:space="preserve">cont.intense.intense</t>
        </is>
      </c>
      <c r="E70" s="2" t="inlineStr">
        <is>
          <t xml:space="preserve">personal_trainer</t>
        </is>
      </c>
      <c r="F70" s="2" t="inlineStr">
        <is>
          <t xml:space="preserve">core</t>
        </is>
      </c>
      <c r="G70" s="2" t="inlineStr">
        <is>
          <t xml:space="preserve">Yes! Strong!</t>
        </is>
      </c>
      <c r="H70" s="2" t="inlineStr">
        <is>
          <t xml:space="preserve">Ja! Sterkt!</t>
        </is>
      </c>
      <c r="I70" s="3">
        <f>IF(LEN(TRIM(G70))=0,0,LEN(TRIM(G70))-LEN(SUBSTITUTE(TRIM(G70)," ",""))+1)</f>
      </c>
      <c r="J70" s="3">
        <f>IF(LEN(TRIM(H70))=0,0,LEN(TRIM(H70))-LEN(SUBSTITUTE(TRIM(H70)," ",""))+1)</f>
      </c>
      <c r="K70" s="3">
        <f>LEN(G70)</f>
      </c>
      <c r="L70" s="3">
        <f>LEN(H70)</f>
      </c>
      <c r="M70" s="3">
        <f>IF(COUNTIF($G:$G,G70)&gt;1,"DUP","")</f>
      </c>
      <c r="N70" s="3">
        <f>IF(COUNTIF($H:$H,H70)&gt;1,"DUP","")</f>
      </c>
      <c r="O70" s="3">
        <f>IF(LEFT(B70,LEN(C70))=C70,"OK","CHECK")</f>
      </c>
      <c r="P70" s="4" t="inlineStr">
        <is>
          <t xml:space="preserve">Review</t>
        </is>
      </c>
      <c r="Q70" s="4" t="inlineStr">
        <is>
          <t xml:space="preserve"/>
        </is>
      </c>
      <c r="R70" s="5">
        <f>IF(OR(M70="DUP",N70="DUP",O70="CHECK"),"CHECK","")</f>
      </c>
    </row>
    <row r="71">
      <c r="A71" s="2">
        <v>66</v>
      </c>
      <c r="B71" s="2" t="inlineStr">
        <is>
          <t xml:space="preserve">cont.intense.intense.3</t>
        </is>
      </c>
      <c r="C71" s="2" t="inlineStr">
        <is>
          <t xml:space="preserve">cont.intense</t>
        </is>
      </c>
      <c r="D71" s="2" t="inlineStr">
        <is>
          <t xml:space="preserve">cont.intense.intense</t>
        </is>
      </c>
      <c r="E71" s="2" t="inlineStr">
        <is>
          <t xml:space="preserve">personal_trainer</t>
        </is>
      </c>
      <c r="F71" s="2" t="inlineStr">
        <is>
          <t xml:space="preserve">core</t>
        </is>
      </c>
      <c r="G71" s="2" t="inlineStr">
        <is>
          <t xml:space="preserve">Keep this!</t>
        </is>
      </c>
      <c r="H71" s="2" t="inlineStr">
        <is>
          <t xml:space="preserve">Behold dette!</t>
        </is>
      </c>
      <c r="I71" s="3">
        <f>IF(LEN(TRIM(G71))=0,0,LEN(TRIM(G71))-LEN(SUBSTITUTE(TRIM(G71)," ",""))+1)</f>
      </c>
      <c r="J71" s="3">
        <f>IF(LEN(TRIM(H71))=0,0,LEN(TRIM(H71))-LEN(SUBSTITUTE(TRIM(H71)," ",""))+1)</f>
      </c>
      <c r="K71" s="3">
        <f>LEN(G71)</f>
      </c>
      <c r="L71" s="3">
        <f>LEN(H71)</f>
      </c>
      <c r="M71" s="3">
        <f>IF(COUNTIF($G:$G,G71)&gt;1,"DUP","")</f>
      </c>
      <c r="N71" s="3">
        <f>IF(COUNTIF($H:$H,H71)&gt;1,"DUP","")</f>
      </c>
      <c r="O71" s="3">
        <f>IF(LEFT(B71,LEN(C71))=C71,"OK","CHECK")</f>
      </c>
      <c r="P71" s="4" t="inlineStr">
        <is>
          <t xml:space="preserve">Review</t>
        </is>
      </c>
      <c r="Q71" s="4" t="inlineStr">
        <is>
          <t xml:space="preserve"/>
        </is>
      </c>
      <c r="R71" s="5">
        <f>IF(OR(M71="DUP",N71="DUP",O71="CHECK"),"CHECK","")</f>
      </c>
    </row>
    <row r="72">
      <c r="A72" s="2">
        <v>67</v>
      </c>
      <c r="B72" s="2" t="inlineStr">
        <is>
          <t xml:space="preserve">cont.intense.intense.4</t>
        </is>
      </c>
      <c r="C72" s="2" t="inlineStr">
        <is>
          <t xml:space="preserve">cont.intense</t>
        </is>
      </c>
      <c r="D72" s="2" t="inlineStr">
        <is>
          <t xml:space="preserve">cont.intense.intense</t>
        </is>
      </c>
      <c r="E72" s="2" t="inlineStr">
        <is>
          <t xml:space="preserve">personal_trainer</t>
        </is>
      </c>
      <c r="F72" s="2" t="inlineStr">
        <is>
          <t xml:space="preserve">core</t>
        </is>
      </c>
      <c r="G72" s="2" t="inlineStr">
        <is>
          <t xml:space="preserve">Excellent work!</t>
        </is>
      </c>
      <c r="H72" s="2" t="inlineStr">
        <is>
          <t xml:space="preserve">Utmerket jobbet!</t>
        </is>
      </c>
      <c r="I72" s="3">
        <f>IF(LEN(TRIM(G72))=0,0,LEN(TRIM(G72))-LEN(SUBSTITUTE(TRIM(G72)," ",""))+1)</f>
      </c>
      <c r="J72" s="3">
        <f>IF(LEN(TRIM(H72))=0,0,LEN(TRIM(H72))-LEN(SUBSTITUTE(TRIM(H72)," ",""))+1)</f>
      </c>
      <c r="K72" s="3">
        <f>LEN(G72)</f>
      </c>
      <c r="L72" s="3">
        <f>LEN(H72)</f>
      </c>
      <c r="M72" s="3">
        <f>IF(COUNTIF($G:$G,G72)&gt;1,"DUP","")</f>
      </c>
      <c r="N72" s="3">
        <f>IF(COUNTIF($H:$H,H72)&gt;1,"DUP","")</f>
      </c>
      <c r="O72" s="3">
        <f>IF(LEFT(B72,LEN(C72))=C72,"OK","CHECK")</f>
      </c>
      <c r="P72" s="4" t="inlineStr">
        <is>
          <t xml:space="preserve">Review</t>
        </is>
      </c>
      <c r="Q72" s="4" t="inlineStr">
        <is>
          <t xml:space="preserve"/>
        </is>
      </c>
      <c r="R72" s="5">
        <f>IF(OR(M72="DUP",N72="DUP",O72="CHECK"),"CHECK","")</f>
      </c>
    </row>
    <row r="73">
      <c r="A73" s="2">
        <v>68</v>
      </c>
      <c r="B73" s="2" t="inlineStr">
        <is>
          <t xml:space="preserve">cont.intense.intense.5</t>
        </is>
      </c>
      <c r="C73" s="2" t="inlineStr">
        <is>
          <t xml:space="preserve">cont.intense</t>
        </is>
      </c>
      <c r="D73" s="2" t="inlineStr">
        <is>
          <t xml:space="preserve">cont.intense.intense</t>
        </is>
      </c>
      <c r="E73" s="2" t="inlineStr">
        <is>
          <t xml:space="preserve">personal_trainer</t>
        </is>
      </c>
      <c r="F73" s="2" t="inlineStr">
        <is>
          <t xml:space="preserve">core</t>
        </is>
      </c>
      <c r="G73" s="2" t="inlineStr">
        <is>
          <t xml:space="preserve">Ten more seconds!</t>
        </is>
      </c>
      <c r="H73" s="2" t="inlineStr">
        <is>
          <t xml:space="preserve">Ti sekunder til!</t>
        </is>
      </c>
      <c r="I73" s="3">
        <f>IF(LEN(TRIM(G73))=0,0,LEN(TRIM(G73))-LEN(SUBSTITUTE(TRIM(G73)," ",""))+1)</f>
      </c>
      <c r="J73" s="3">
        <f>IF(LEN(TRIM(H73))=0,0,LEN(TRIM(H73))-LEN(SUBSTITUTE(TRIM(H73)," ",""))+1)</f>
      </c>
      <c r="K73" s="3">
        <f>LEN(G73)</f>
      </c>
      <c r="L73" s="3">
        <f>LEN(H73)</f>
      </c>
      <c r="M73" s="3">
        <f>IF(COUNTIF($G:$G,G73)&gt;1,"DUP","")</f>
      </c>
      <c r="N73" s="3">
        <f>IF(COUNTIF($H:$H,H73)&gt;1,"DUP","")</f>
      </c>
      <c r="O73" s="3">
        <f>IF(LEFT(B73,LEN(C73))=C73,"OK","CHECK")</f>
      </c>
      <c r="P73" s="4" t="inlineStr">
        <is>
          <t xml:space="preserve">Review</t>
        </is>
      </c>
      <c r="Q73" s="4" t="inlineStr">
        <is>
          <t xml:space="preserve"/>
        </is>
      </c>
      <c r="R73" s="5">
        <f>IF(OR(M73="DUP",N73="DUP",O73="CHECK"),"CHECK","")</f>
      </c>
    </row>
    <row r="74">
      <c r="A74" s="2">
        <v>59</v>
      </c>
      <c r="B74" s="2" t="inlineStr">
        <is>
          <t xml:space="preserve">cont.intense.mod.1</t>
        </is>
      </c>
      <c r="C74" s="2" t="inlineStr">
        <is>
          <t xml:space="preserve">cont.intense</t>
        </is>
      </c>
      <c r="D74" s="2" t="inlineStr">
        <is>
          <t xml:space="preserve">cont.intense.mod</t>
        </is>
      </c>
      <c r="E74" s="2" t="inlineStr">
        <is>
          <t xml:space="preserve">personal_trainer</t>
        </is>
      </c>
      <c r="F74" s="2" t="inlineStr">
        <is>
          <t xml:space="preserve">core</t>
        </is>
      </c>
      <c r="G74" s="2" t="inlineStr">
        <is>
          <t xml:space="preserve">Keep going, good pace!</t>
        </is>
      </c>
      <c r="H74" s="2" t="inlineStr">
        <is>
          <t xml:space="preserve">Fortsett, godt tempo!</t>
        </is>
      </c>
      <c r="I74" s="3">
        <f>IF(LEN(TRIM(G74))=0,0,LEN(TRIM(G74))-LEN(SUBSTITUTE(TRIM(G74)," ",""))+1)</f>
      </c>
      <c r="J74" s="3">
        <f>IF(LEN(TRIM(H74))=0,0,LEN(TRIM(H74))-LEN(SUBSTITUTE(TRIM(H74)," ",""))+1)</f>
      </c>
      <c r="K74" s="3">
        <f>LEN(G74)</f>
      </c>
      <c r="L74" s="3">
        <f>LEN(H74)</f>
      </c>
      <c r="M74" s="3">
        <f>IF(COUNTIF($G:$G,G74)&gt;1,"DUP","")</f>
      </c>
      <c r="N74" s="3">
        <f>IF(COUNTIF($H:$H,H74)&gt;1,"DUP","")</f>
      </c>
      <c r="O74" s="3">
        <f>IF(LEFT(B74,LEN(C74))=C74,"OK","CHECK")</f>
      </c>
      <c r="P74" s="4" t="inlineStr">
        <is>
          <t xml:space="preserve">Review</t>
        </is>
      </c>
      <c r="Q74" s="4" t="inlineStr">
        <is>
          <t xml:space="preserve"/>
        </is>
      </c>
      <c r="R74" s="5">
        <f>IF(OR(M74="DUP",N74="DUP",O74="CHECK"),"CHECK","")</f>
      </c>
    </row>
    <row r="75">
      <c r="A75" s="2">
        <v>60</v>
      </c>
      <c r="B75" s="2" t="inlineStr">
        <is>
          <t xml:space="preserve">cont.intense.mod.2</t>
        </is>
      </c>
      <c r="C75" s="2" t="inlineStr">
        <is>
          <t xml:space="preserve">cont.intense</t>
        </is>
      </c>
      <c r="D75" s="2" t="inlineStr">
        <is>
          <t xml:space="preserve">cont.intense.mod</t>
        </is>
      </c>
      <c r="E75" s="2" t="inlineStr">
        <is>
          <t xml:space="preserve">personal_trainer</t>
        </is>
      </c>
      <c r="F75" s="2" t="inlineStr">
        <is>
          <t xml:space="preserve">core</t>
        </is>
      </c>
      <c r="G75" s="2" t="inlineStr">
        <is>
          <t xml:space="preserve">Stay with it!</t>
        </is>
      </c>
      <c r="H75" s="2" t="inlineStr">
        <is>
          <t xml:space="preserve">Hold deg fokusert!</t>
        </is>
      </c>
      <c r="I75" s="3">
        <f>IF(LEN(TRIM(G75))=0,0,LEN(TRIM(G75))-LEN(SUBSTITUTE(TRIM(G75)," ",""))+1)</f>
      </c>
      <c r="J75" s="3">
        <f>IF(LEN(TRIM(H75))=0,0,LEN(TRIM(H75))-LEN(SUBSTITUTE(TRIM(H75)," ",""))+1)</f>
      </c>
      <c r="K75" s="3">
        <f>LEN(G75)</f>
      </c>
      <c r="L75" s="3">
        <f>LEN(H75)</f>
      </c>
      <c r="M75" s="3">
        <f>IF(COUNTIF($G:$G,G75)&gt;1,"DUP","")</f>
      </c>
      <c r="N75" s="3">
        <f>IF(COUNTIF($H:$H,H75)&gt;1,"DUP","")</f>
      </c>
      <c r="O75" s="3">
        <f>IF(LEFT(B75,LEN(C75))=C75,"OK","CHECK")</f>
      </c>
      <c r="P75" s="4" t="inlineStr">
        <is>
          <t xml:space="preserve">Review</t>
        </is>
      </c>
      <c r="Q75" s="4" t="inlineStr">
        <is>
          <t xml:space="preserve"/>
        </is>
      </c>
      <c r="R75" s="5">
        <f>IF(OR(M75="DUP",N75="DUP",O75="CHECK"),"CHECK","")</f>
      </c>
    </row>
    <row r="76">
      <c r="A76" s="2">
        <v>61</v>
      </c>
      <c r="B76" s="2" t="inlineStr">
        <is>
          <t xml:space="preserve">cont.intense.mod.3</t>
        </is>
      </c>
      <c r="C76" s="2" t="inlineStr">
        <is>
          <t xml:space="preserve">cont.intense</t>
        </is>
      </c>
      <c r="D76" s="2" t="inlineStr">
        <is>
          <t xml:space="preserve">cont.intense.mod</t>
        </is>
      </c>
      <c r="E76" s="2" t="inlineStr">
        <is>
          <t xml:space="preserve">personal_trainer</t>
        </is>
      </c>
      <c r="F76" s="2" t="inlineStr">
        <is>
          <t xml:space="preserve">core</t>
        </is>
      </c>
      <c r="G76" s="2" t="inlineStr">
        <is>
          <t xml:space="preserve">Nice rhythm, maintain!</t>
        </is>
      </c>
      <c r="H76" s="2" t="inlineStr">
        <is>
          <t xml:space="preserve">Bra tempo!</t>
        </is>
      </c>
      <c r="I76" s="3">
        <f>IF(LEN(TRIM(G76))=0,0,LEN(TRIM(G76))-LEN(SUBSTITUTE(TRIM(G76)," ",""))+1)</f>
      </c>
      <c r="J76" s="3">
        <f>IF(LEN(TRIM(H76))=0,0,LEN(TRIM(H76))-LEN(SUBSTITUTE(TRIM(H76)," ",""))+1)</f>
      </c>
      <c r="K76" s="3">
        <f>LEN(G76)</f>
      </c>
      <c r="L76" s="3">
        <f>LEN(H76)</f>
      </c>
      <c r="M76" s="3">
        <f>IF(COUNTIF($G:$G,G76)&gt;1,"DUP","")</f>
      </c>
      <c r="N76" s="3">
        <f>IF(COUNTIF($H:$H,H76)&gt;1,"DUP","")</f>
      </c>
      <c r="O76" s="3">
        <f>IF(LEFT(B76,LEN(C76))=C76,"OK","CHECK")</f>
      </c>
      <c r="P76" s="4" t="inlineStr">
        <is>
          <t xml:space="preserve">Review</t>
        </is>
      </c>
      <c r="Q76" s="4" t="inlineStr">
        <is>
          <t xml:space="preserve"/>
        </is>
      </c>
      <c r="R76" s="5">
        <f>IF(OR(M76="DUP",N76="DUP",O76="CHECK"),"CHECK","")</f>
      </c>
    </row>
    <row r="77">
      <c r="A77" s="2">
        <v>62</v>
      </c>
      <c r="B77" s="2" t="inlineStr">
        <is>
          <t xml:space="preserve">cont.intense.mod.4</t>
        </is>
      </c>
      <c r="C77" s="2" t="inlineStr">
        <is>
          <t xml:space="preserve">cont.intense</t>
        </is>
      </c>
      <c r="D77" s="2" t="inlineStr">
        <is>
          <t xml:space="preserve">cont.intense.mod</t>
        </is>
      </c>
      <c r="E77" s="2" t="inlineStr">
        <is>
          <t xml:space="preserve">personal_trainer</t>
        </is>
      </c>
      <c r="F77" s="2" t="inlineStr">
        <is>
          <t xml:space="preserve">core</t>
        </is>
      </c>
      <c r="G77" s="2" t="inlineStr">
        <is>
          <t xml:space="preserve">You got this!</t>
        </is>
      </c>
      <c r="H77" s="2" t="inlineStr">
        <is>
          <t xml:space="preserve">Du klarer det!</t>
        </is>
      </c>
      <c r="I77" s="3">
        <f>IF(LEN(TRIM(G77))=0,0,LEN(TRIM(G77))-LEN(SUBSTITUTE(TRIM(G77)," ",""))+1)</f>
      </c>
      <c r="J77" s="3">
        <f>IF(LEN(TRIM(H77))=0,0,LEN(TRIM(H77))-LEN(SUBSTITUTE(TRIM(H77)," ",""))+1)</f>
      </c>
      <c r="K77" s="3">
        <f>LEN(G77)</f>
      </c>
      <c r="L77" s="3">
        <f>LEN(H77)</f>
      </c>
      <c r="M77" s="3">
        <f>IF(COUNTIF($G:$G,G77)&gt;1,"DUP","")</f>
      </c>
      <c r="N77" s="3">
        <f>IF(COUNTIF($H:$H,H77)&gt;1,"DUP","")</f>
      </c>
      <c r="O77" s="3">
        <f>IF(LEFT(B77,LEN(C77))=C77,"OK","CHECK")</f>
      </c>
      <c r="P77" s="4" t="inlineStr">
        <is>
          <t xml:space="preserve">Review</t>
        </is>
      </c>
      <c r="Q77" s="4" t="inlineStr">
        <is>
          <t xml:space="preserve"/>
        </is>
      </c>
      <c r="R77" s="5">
        <f>IF(OR(M77="DUP",N77="DUP",O77="CHECK"),"CHECK","")</f>
      </c>
    </row>
    <row r="78">
      <c r="A78" s="2">
        <v>63</v>
      </c>
      <c r="B78" s="2" t="inlineStr">
        <is>
          <t xml:space="preserve">cont.intense.mod.5</t>
        </is>
      </c>
      <c r="C78" s="2" t="inlineStr">
        <is>
          <t xml:space="preserve">cont.intense</t>
        </is>
      </c>
      <c r="D78" s="2" t="inlineStr">
        <is>
          <t xml:space="preserve">cont.intense.mod</t>
        </is>
      </c>
      <c r="E78" s="2" t="inlineStr">
        <is>
          <t xml:space="preserve">personal_trainer</t>
        </is>
      </c>
      <c r="F78" s="2" t="inlineStr">
        <is>
          <t xml:space="preserve">core</t>
        </is>
      </c>
      <c r="G78" s="2" t="inlineStr">
        <is>
          <t xml:space="preserve">Good work, keep steady!</t>
        </is>
      </c>
      <c r="H78" s="2" t="inlineStr">
        <is>
          <t xml:space="preserve">Bra jobba! Hold jevnt tempo.</t>
        </is>
      </c>
      <c r="I78" s="3">
        <f>IF(LEN(TRIM(G78))=0,0,LEN(TRIM(G78))-LEN(SUBSTITUTE(TRIM(G78)," ",""))+1)</f>
      </c>
      <c r="J78" s="3">
        <f>IF(LEN(TRIM(H78))=0,0,LEN(TRIM(H78))-LEN(SUBSTITUTE(TRIM(H78)," ",""))+1)</f>
      </c>
      <c r="K78" s="3">
        <f>LEN(G78)</f>
      </c>
      <c r="L78" s="3">
        <f>LEN(H78)</f>
      </c>
      <c r="M78" s="3">
        <f>IF(COUNTIF($G:$G,G78)&gt;1,"DUP","")</f>
      </c>
      <c r="N78" s="3">
        <f>IF(COUNTIF($H:$H,H78)&gt;1,"DUP","")</f>
      </c>
      <c r="O78" s="3">
        <f>IF(LEFT(B78,LEN(C78))=C78,"OK","CHECK")</f>
      </c>
      <c r="P78" s="4" t="inlineStr">
        <is>
          <t xml:space="preserve">Review</t>
        </is>
      </c>
      <c r="Q78" s="4" t="inlineStr">
        <is>
          <t xml:space="preserve"/>
        </is>
      </c>
      <c r="R78" s="5">
        <f>IF(OR(M78="DUP",N78="DUP",O78="CHECK"),"CHECK","")</f>
      </c>
    </row>
    <row r="79">
      <c r="A79" s="2">
        <v>44</v>
      </c>
      <c r="B79" s="2" t="inlineStr">
        <is>
          <t xml:space="preserve">cont.warmup.1</t>
        </is>
      </c>
      <c r="C79" s="2" t="inlineStr">
        <is>
          <t xml:space="preserve">cont.warmup</t>
        </is>
      </c>
      <c r="D79" s="2" t="inlineStr">
        <is>
          <t xml:space="preserve">cont.warmup.1</t>
        </is>
      </c>
      <c r="E79" s="2" t="inlineStr">
        <is>
          <t xml:space="preserve">personal_trainer</t>
        </is>
      </c>
      <c r="F79" s="2" t="inlineStr">
        <is>
          <t xml:space="preserve">core</t>
        </is>
      </c>
      <c r="G79" s="2" t="inlineStr">
        <is>
          <t xml:space="preserve">Easy pace, nice start.</t>
        </is>
      </c>
      <c r="H79" s="2" t="inlineStr">
        <is>
          <t xml:space="preserve">Rolig tempo, fin start.</t>
        </is>
      </c>
      <c r="I79" s="3">
        <f>IF(LEN(TRIM(G79))=0,0,LEN(TRIM(G79))-LEN(SUBSTITUTE(TRIM(G79)," ",""))+1)</f>
      </c>
      <c r="J79" s="3">
        <f>IF(LEN(TRIM(H79))=0,0,LEN(TRIM(H79))-LEN(SUBSTITUTE(TRIM(H79)," ",""))+1)</f>
      </c>
      <c r="K79" s="3">
        <f>LEN(G79)</f>
      </c>
      <c r="L79" s="3">
        <f>LEN(H79)</f>
      </c>
      <c r="M79" s="3">
        <f>IF(COUNTIF($G:$G,G79)&gt;1,"DUP","")</f>
      </c>
      <c r="N79" s="3">
        <f>IF(COUNTIF($H:$H,H79)&gt;1,"DUP","")</f>
      </c>
      <c r="O79" s="3">
        <f>IF(LEFT(B79,LEN(C79))=C79,"OK","CHECK")</f>
      </c>
      <c r="P79" s="4" t="inlineStr">
        <is>
          <t xml:space="preserve">Review</t>
        </is>
      </c>
      <c r="Q79" s="4" t="inlineStr">
        <is>
          <t xml:space="preserve"/>
        </is>
      </c>
      <c r="R79" s="5">
        <f>IF(OR(M79="DUP",N79="DUP",O79="CHECK"),"CHECK","")</f>
      </c>
    </row>
    <row r="80">
      <c r="A80" s="2">
        <v>45</v>
      </c>
      <c r="B80" s="2" t="inlineStr">
        <is>
          <t xml:space="preserve">cont.warmup.2</t>
        </is>
      </c>
      <c r="C80" s="2" t="inlineStr">
        <is>
          <t xml:space="preserve">cont.warmup</t>
        </is>
      </c>
      <c r="D80" s="2" t="inlineStr">
        <is>
          <t xml:space="preserve">cont.warmup.2</t>
        </is>
      </c>
      <c r="E80" s="2" t="inlineStr">
        <is>
          <t xml:space="preserve">personal_trainer</t>
        </is>
      </c>
      <c r="F80" s="2" t="inlineStr">
        <is>
          <t xml:space="preserve">core</t>
        </is>
      </c>
      <c r="G80" s="2" t="inlineStr">
        <is>
          <t xml:space="preserve">Steady, good warmup.</t>
        </is>
      </c>
      <c r="H80" s="2" t="inlineStr">
        <is>
          <t xml:space="preserve">Jevnt, god oppvarming.</t>
        </is>
      </c>
      <c r="I80" s="3">
        <f>IF(LEN(TRIM(G80))=0,0,LEN(TRIM(G80))-LEN(SUBSTITUTE(TRIM(G80)," ",""))+1)</f>
      </c>
      <c r="J80" s="3">
        <f>IF(LEN(TRIM(H80))=0,0,LEN(TRIM(H80))-LEN(SUBSTITUTE(TRIM(H80)," ",""))+1)</f>
      </c>
      <c r="K80" s="3">
        <f>LEN(G80)</f>
      </c>
      <c r="L80" s="3">
        <f>LEN(H80)</f>
      </c>
      <c r="M80" s="3">
        <f>IF(COUNTIF($G:$G,G80)&gt;1,"DUP","")</f>
      </c>
      <c r="N80" s="3">
        <f>IF(COUNTIF($H:$H,H80)&gt;1,"DUP","")</f>
      </c>
      <c r="O80" s="3">
        <f>IF(LEFT(B80,LEN(C80))=C80,"OK","CHECK")</f>
      </c>
      <c r="P80" s="4" t="inlineStr">
        <is>
          <t xml:space="preserve">Review</t>
        </is>
      </c>
      <c r="Q80" s="4" t="inlineStr">
        <is>
          <t xml:space="preserve"/>
        </is>
      </c>
      <c r="R80" s="5">
        <f>IF(OR(M80="DUP",N80="DUP",O80="CHECK"),"CHECK","")</f>
      </c>
    </row>
    <row r="81">
      <c r="A81" s="2">
        <v>46</v>
      </c>
      <c r="B81" s="2" t="inlineStr">
        <is>
          <t xml:space="preserve">cont.warmup.3</t>
        </is>
      </c>
      <c r="C81" s="2" t="inlineStr">
        <is>
          <t xml:space="preserve">cont.warmup</t>
        </is>
      </c>
      <c r="D81" s="2" t="inlineStr">
        <is>
          <t xml:space="preserve">cont.warmup.3</t>
        </is>
      </c>
      <c r="E81" s="2" t="inlineStr">
        <is>
          <t xml:space="preserve">personal_trainer</t>
        </is>
      </c>
      <c r="F81" s="2" t="inlineStr">
        <is>
          <t xml:space="preserve">core</t>
        </is>
      </c>
      <c r="G81" s="2" t="inlineStr">
        <is>
          <t xml:space="preserve">Gentle, keep warming up.</t>
        </is>
      </c>
      <c r="H81" s="2" t="inlineStr">
        <is>
          <t xml:space="preserve">Rolig, fortsett oppvarmingen.</t>
        </is>
      </c>
      <c r="I81" s="3">
        <f>IF(LEN(TRIM(G81))=0,0,LEN(TRIM(G81))-LEN(SUBSTITUTE(TRIM(G81)," ",""))+1)</f>
      </c>
      <c r="J81" s="3">
        <f>IF(LEN(TRIM(H81))=0,0,LEN(TRIM(H81))-LEN(SUBSTITUTE(TRIM(H81)," ",""))+1)</f>
      </c>
      <c r="K81" s="3">
        <f>LEN(G81)</f>
      </c>
      <c r="L81" s="3">
        <f>LEN(H81)</f>
      </c>
      <c r="M81" s="3">
        <f>IF(COUNTIF($G:$G,G81)&gt;1,"DUP","")</f>
      </c>
      <c r="N81" s="3">
        <f>IF(COUNTIF($H:$H,H81)&gt;1,"DUP","")</f>
      </c>
      <c r="O81" s="3">
        <f>IF(LEFT(B81,LEN(C81))=C81,"OK","CHECK")</f>
      </c>
      <c r="P81" s="4" t="inlineStr">
        <is>
          <t xml:space="preserve">Review</t>
        </is>
      </c>
      <c r="Q81" s="4" t="inlineStr">
        <is>
          <t xml:space="preserve"/>
        </is>
      </c>
      <c r="R81" s="5">
        <f>IF(OR(M81="DUP",N81="DUP",O81="CHECK"),"CHECK","")</f>
      </c>
    </row>
    <row r="82">
      <c r="A82" s="2">
        <v>47</v>
      </c>
      <c r="B82" s="2" t="inlineStr">
        <is>
          <t xml:space="preserve">cont.warmup.4</t>
        </is>
      </c>
      <c r="C82" s="2" t="inlineStr">
        <is>
          <t xml:space="preserve">cont.warmup</t>
        </is>
      </c>
      <c r="D82" s="2" t="inlineStr">
        <is>
          <t xml:space="preserve">cont.warmup.4</t>
        </is>
      </c>
      <c r="E82" s="2" t="inlineStr">
        <is>
          <t xml:space="preserve">personal_trainer</t>
        </is>
      </c>
      <c r="F82" s="2" t="inlineStr">
        <is>
          <t xml:space="preserve">core</t>
        </is>
      </c>
      <c r="G82" s="2" t="inlineStr">
        <is>
          <t xml:space="preserve">Nice and easy.</t>
        </is>
      </c>
      <c r="H82" s="2" t="inlineStr">
        <is>
          <t xml:space="preserve">Fint og rolig.</t>
        </is>
      </c>
      <c r="I82" s="3">
        <f>IF(LEN(TRIM(G82))=0,0,LEN(TRIM(G82))-LEN(SUBSTITUTE(TRIM(G82)," ",""))+1)</f>
      </c>
      <c r="J82" s="3">
        <f>IF(LEN(TRIM(H82))=0,0,LEN(TRIM(H82))-LEN(SUBSTITUTE(TRIM(H82)," ",""))+1)</f>
      </c>
      <c r="K82" s="3">
        <f>LEN(G82)</f>
      </c>
      <c r="L82" s="3">
        <f>LEN(H82)</f>
      </c>
      <c r="M82" s="3">
        <f>IF(COUNTIF($G:$G,G82)&gt;1,"DUP","")</f>
      </c>
      <c r="N82" s="3">
        <f>IF(COUNTIF($H:$H,H82)&gt;1,"DUP","")</f>
      </c>
      <c r="O82" s="3">
        <f>IF(LEFT(B82,LEN(C82))=C82,"OK","CHECK")</f>
      </c>
      <c r="P82" s="4" t="inlineStr">
        <is>
          <t xml:space="preserve">Review</t>
        </is>
      </c>
      <c r="Q82" s="4" t="inlineStr">
        <is>
          <t xml:space="preserve"/>
        </is>
      </c>
      <c r="R82" s="5">
        <f>IF(OR(M82="DUP",N82="DUP",O82="CHECK"),"CHECK","")</f>
      </c>
    </row>
    <row r="83">
      <c r="A83" s="2">
        <v>48</v>
      </c>
      <c r="B83" s="2" t="inlineStr">
        <is>
          <t xml:space="preserve">cont.warmup.5</t>
        </is>
      </c>
      <c r="C83" s="2" t="inlineStr">
        <is>
          <t xml:space="preserve">cont.warmup</t>
        </is>
      </c>
      <c r="D83" s="2" t="inlineStr">
        <is>
          <t xml:space="preserve">cont.warmup.5</t>
        </is>
      </c>
      <c r="E83" s="2" t="inlineStr">
        <is>
          <t xml:space="preserve">personal_trainer</t>
        </is>
      </c>
      <c r="F83" s="2" t="inlineStr">
        <is>
          <t xml:space="preserve">core</t>
        </is>
      </c>
      <c r="G83" s="2" t="inlineStr">
        <is>
          <t xml:space="preserve">Perfect warmup pace.</t>
        </is>
      </c>
      <c r="H83" s="2" t="inlineStr">
        <is>
          <t xml:space="preserve">Perfekt oppvarmingstempo.</t>
        </is>
      </c>
      <c r="I83" s="3">
        <f>IF(LEN(TRIM(G83))=0,0,LEN(TRIM(G83))-LEN(SUBSTITUTE(TRIM(G83)," ",""))+1)</f>
      </c>
      <c r="J83" s="3">
        <f>IF(LEN(TRIM(H83))=0,0,LEN(TRIM(H83))-LEN(SUBSTITUTE(TRIM(H83)," ",""))+1)</f>
      </c>
      <c r="K83" s="3">
        <f>LEN(G83)</f>
      </c>
      <c r="L83" s="3">
        <f>LEN(H83)</f>
      </c>
      <c r="M83" s="3">
        <f>IF(COUNTIF($G:$G,G83)&gt;1,"DUP","")</f>
      </c>
      <c r="N83" s="3">
        <f>IF(COUNTIF($H:$H,H83)&gt;1,"DUP","")</f>
      </c>
      <c r="O83" s="3">
        <f>IF(LEFT(B83,LEN(C83))=C83,"OK","CHECK")</f>
      </c>
      <c r="P83" s="4" t="inlineStr">
        <is>
          <t xml:space="preserve">Review</t>
        </is>
      </c>
      <c r="Q83" s="4" t="inlineStr">
        <is>
          <t xml:space="preserve"/>
        </is>
      </c>
      <c r="R83" s="5">
        <f>IF(OR(M83="DUP",N83="DUP",O83="CHECK"),"CHECK","")</f>
      </c>
    </row>
    <row r="84">
      <c r="A84" s="2">
        <v>158</v>
      </c>
      <c r="B84" s="2" t="inlineStr">
        <is>
          <t xml:space="preserve">motivation.1</t>
        </is>
      </c>
      <c r="C84" s="2" t="inlineStr">
        <is>
          <t xml:space="preserve">motivation.1</t>
        </is>
      </c>
      <c r="D84" s="2" t="inlineStr">
        <is>
          <t xml:space="preserve">motivation.1</t>
        </is>
      </c>
      <c r="E84" s="2" t="inlineStr">
        <is>
          <t xml:space="preserve">personal_trainer</t>
        </is>
      </c>
      <c r="F84" s="2" t="inlineStr">
        <is>
          <t xml:space="preserve">core</t>
        </is>
      </c>
      <c r="G84" s="2" t="inlineStr">
        <is>
          <t xml:space="preserve">You're doing great.</t>
        </is>
      </c>
      <c r="H84" s="2" t="inlineStr">
        <is>
          <t xml:space="preserve">Du er kjempeflink.</t>
        </is>
      </c>
      <c r="I84" s="3">
        <f>IF(LEN(TRIM(G84))=0,0,LEN(TRIM(G84))-LEN(SUBSTITUTE(TRIM(G84)," ",""))+1)</f>
      </c>
      <c r="J84" s="3">
        <f>IF(LEN(TRIM(H84))=0,0,LEN(TRIM(H84))-LEN(SUBSTITUTE(TRIM(H84)," ",""))+1)</f>
      </c>
      <c r="K84" s="3">
        <f>LEN(G84)</f>
      </c>
      <c r="L84" s="3">
        <f>LEN(H84)</f>
      </c>
      <c r="M84" s="3">
        <f>IF(COUNTIF($G:$G,G84)&gt;1,"DUP","")</f>
      </c>
      <c r="N84" s="3">
        <f>IF(COUNTIF($H:$H,H84)&gt;1,"DUP","")</f>
      </c>
      <c r="O84" s="3">
        <f>IF(LEFT(B84,LEN(C84))=C84,"OK","CHECK")</f>
      </c>
      <c r="P84" s="4" t="inlineStr">
        <is>
          <t xml:space="preserve">Review</t>
        </is>
      </c>
      <c r="Q84" s="4" t="inlineStr">
        <is>
          <t xml:space="preserve"/>
        </is>
      </c>
      <c r="R84" s="5">
        <f>IF(OR(M84="DUP",N84="DUP",O84="CHECK"),"CHECK","")</f>
      </c>
    </row>
    <row r="85">
      <c r="A85" s="2">
        <v>167</v>
      </c>
      <c r="B85" s="2" t="inlineStr">
        <is>
          <t xml:space="preserve">motivation.10</t>
        </is>
      </c>
      <c r="C85" s="2" t="inlineStr">
        <is>
          <t xml:space="preserve">motivation.10</t>
        </is>
      </c>
      <c r="D85" s="2" t="inlineStr">
        <is>
          <t xml:space="preserve">motivation.10</t>
        </is>
      </c>
      <c r="E85" s="2" t="inlineStr">
        <is>
          <t xml:space="preserve">personal_trainer</t>
        </is>
      </c>
      <c r="F85" s="2" t="inlineStr">
        <is>
          <t xml:space="preserve">core</t>
        </is>
      </c>
      <c r="G85" s="2" t="inlineStr">
        <is>
          <t xml:space="preserve">Finish what you started.</t>
        </is>
      </c>
      <c r="H85" s="2" t="inlineStr">
        <is>
          <t xml:space="preserve">Fullfør det du begynte på.</t>
        </is>
      </c>
      <c r="I85" s="3">
        <f>IF(LEN(TRIM(G85))=0,0,LEN(TRIM(G85))-LEN(SUBSTITUTE(TRIM(G85)," ",""))+1)</f>
      </c>
      <c r="J85" s="3">
        <f>IF(LEN(TRIM(H85))=0,0,LEN(TRIM(H85))-LEN(SUBSTITUTE(TRIM(H85)," ",""))+1)</f>
      </c>
      <c r="K85" s="3">
        <f>LEN(G85)</f>
      </c>
      <c r="L85" s="3">
        <f>LEN(H85)</f>
      </c>
      <c r="M85" s="3">
        <f>IF(COUNTIF($G:$G,G85)&gt;1,"DUP","")</f>
      </c>
      <c r="N85" s="3">
        <f>IF(COUNTIF($H:$H,H85)&gt;1,"DUP","")</f>
      </c>
      <c r="O85" s="3">
        <f>IF(LEFT(B85,LEN(C85))=C85,"OK","CHECK")</f>
      </c>
      <c r="P85" s="4" t="inlineStr">
        <is>
          <t xml:space="preserve">Review</t>
        </is>
      </c>
      <c r="Q85" s="4" t="inlineStr">
        <is>
          <t xml:space="preserve"/>
        </is>
      </c>
      <c r="R85" s="5">
        <f>IF(OR(M85="DUP",N85="DUP",O85="CHECK"),"CHECK","")</f>
      </c>
    </row>
    <row r="86">
      <c r="A86" s="2">
        <v>159</v>
      </c>
      <c r="B86" s="2" t="inlineStr">
        <is>
          <t xml:space="preserve">motivation.2</t>
        </is>
      </c>
      <c r="C86" s="2" t="inlineStr">
        <is>
          <t xml:space="preserve">motivation.2</t>
        </is>
      </c>
      <c r="D86" s="2" t="inlineStr">
        <is>
          <t xml:space="preserve">motivation.2</t>
        </is>
      </c>
      <c r="E86" s="2" t="inlineStr">
        <is>
          <t xml:space="preserve">personal_trainer</t>
        </is>
      </c>
      <c r="F86" s="2" t="inlineStr">
        <is>
          <t xml:space="preserve">core</t>
        </is>
      </c>
      <c r="G86" s="2" t="inlineStr">
        <is>
          <t xml:space="preserve">Strong work. Keep it up.</t>
        </is>
      </c>
      <c r="H86" s="2" t="inlineStr">
        <is>
          <t xml:space="preserve">Sterkt. Fortsett slik.</t>
        </is>
      </c>
      <c r="I86" s="3">
        <f>IF(LEN(TRIM(G86))=0,0,LEN(TRIM(G86))-LEN(SUBSTITUTE(TRIM(G86)," ",""))+1)</f>
      </c>
      <c r="J86" s="3">
        <f>IF(LEN(TRIM(H86))=0,0,LEN(TRIM(H86))-LEN(SUBSTITUTE(TRIM(H86)," ",""))+1)</f>
      </c>
      <c r="K86" s="3">
        <f>LEN(G86)</f>
      </c>
      <c r="L86" s="3">
        <f>LEN(H86)</f>
      </c>
      <c r="M86" s="3">
        <f>IF(COUNTIF($G:$G,G86)&gt;1,"DUP","")</f>
      </c>
      <c r="N86" s="3">
        <f>IF(COUNTIF($H:$H,H86)&gt;1,"DUP","")</f>
      </c>
      <c r="O86" s="3">
        <f>IF(LEFT(B86,LEN(C86))=C86,"OK","CHECK")</f>
      </c>
      <c r="P86" s="4" t="inlineStr">
        <is>
          <t xml:space="preserve">Review</t>
        </is>
      </c>
      <c r="Q86" s="4" t="inlineStr">
        <is>
          <t xml:space="preserve"/>
        </is>
      </c>
      <c r="R86" s="5">
        <f>IF(OR(M86="DUP",N86="DUP",O86="CHECK"),"CHECK","")</f>
      </c>
    </row>
    <row r="87">
      <c r="A87" s="2">
        <v>160</v>
      </c>
      <c r="B87" s="2" t="inlineStr">
        <is>
          <t xml:space="preserve">motivation.3</t>
        </is>
      </c>
      <c r="C87" s="2" t="inlineStr">
        <is>
          <t xml:space="preserve">motivation.3</t>
        </is>
      </c>
      <c r="D87" s="2" t="inlineStr">
        <is>
          <t xml:space="preserve">motivation.3</t>
        </is>
      </c>
      <c r="E87" s="2" t="inlineStr">
        <is>
          <t xml:space="preserve">personal_trainer</t>
        </is>
      </c>
      <c r="F87" s="2" t="inlineStr">
        <is>
          <t xml:space="preserve">core</t>
        </is>
      </c>
      <c r="G87" s="2" t="inlineStr">
        <is>
          <t xml:space="preserve">That's the effort I want to see.</t>
        </is>
      </c>
      <c r="H87" s="2" t="inlineStr">
        <is>
          <t xml:space="preserve">Det er innsatsen jeg vil se.</t>
        </is>
      </c>
      <c r="I87" s="3">
        <f>IF(LEN(TRIM(G87))=0,0,LEN(TRIM(G87))-LEN(SUBSTITUTE(TRIM(G87)," ",""))+1)</f>
      </c>
      <c r="J87" s="3">
        <f>IF(LEN(TRIM(H87))=0,0,LEN(TRIM(H87))-LEN(SUBSTITUTE(TRIM(H87)," ",""))+1)</f>
      </c>
      <c r="K87" s="3">
        <f>LEN(G87)</f>
      </c>
      <c r="L87" s="3">
        <f>LEN(H87)</f>
      </c>
      <c r="M87" s="3">
        <f>IF(COUNTIF($G:$G,G87)&gt;1,"DUP","")</f>
      </c>
      <c r="N87" s="3">
        <f>IF(COUNTIF($H:$H,H87)&gt;1,"DUP","")</f>
      </c>
      <c r="O87" s="3">
        <f>IF(LEFT(B87,LEN(C87))=C87,"OK","CHECK")</f>
      </c>
      <c r="P87" s="4" t="inlineStr">
        <is>
          <t xml:space="preserve">Review</t>
        </is>
      </c>
      <c r="Q87" s="4" t="inlineStr">
        <is>
          <t xml:space="preserve"/>
        </is>
      </c>
      <c r="R87" s="5">
        <f>IF(OR(M87="DUP",N87="DUP",O87="CHECK"),"CHECK","")</f>
      </c>
    </row>
    <row r="88">
      <c r="A88" s="2">
        <v>161</v>
      </c>
      <c r="B88" s="2" t="inlineStr">
        <is>
          <t xml:space="preserve">motivation.4</t>
        </is>
      </c>
      <c r="C88" s="2" t="inlineStr">
        <is>
          <t xml:space="preserve">motivation.4</t>
        </is>
      </c>
      <c r="D88" s="2" t="inlineStr">
        <is>
          <t xml:space="preserve">motivation.4</t>
        </is>
      </c>
      <c r="E88" s="2" t="inlineStr">
        <is>
          <t xml:space="preserve">personal_trainer</t>
        </is>
      </c>
      <c r="F88" s="2" t="inlineStr">
        <is>
          <t xml:space="preserve">core</t>
        </is>
      </c>
      <c r="G88" s="2" t="inlineStr">
        <is>
          <t xml:space="preserve">One step at a time. You got this.</t>
        </is>
      </c>
      <c r="H88" s="2" t="inlineStr">
        <is>
          <t xml:space="preserve">Ett steg om gangen. Du klarer det.</t>
        </is>
      </c>
      <c r="I88" s="3">
        <f>IF(LEN(TRIM(G88))=0,0,LEN(TRIM(G88))-LEN(SUBSTITUTE(TRIM(G88)," ",""))+1)</f>
      </c>
      <c r="J88" s="3">
        <f>IF(LEN(TRIM(H88))=0,0,LEN(TRIM(H88))-LEN(SUBSTITUTE(TRIM(H88)," ",""))+1)</f>
      </c>
      <c r="K88" s="3">
        <f>LEN(G88)</f>
      </c>
      <c r="L88" s="3">
        <f>LEN(H88)</f>
      </c>
      <c r="M88" s="3">
        <f>IF(COUNTIF($G:$G,G88)&gt;1,"DUP","")</f>
      </c>
      <c r="N88" s="3">
        <f>IF(COUNTIF($H:$H,H88)&gt;1,"DUP","")</f>
      </c>
      <c r="O88" s="3">
        <f>IF(LEFT(B88,LEN(C88))=C88,"OK","CHECK")</f>
      </c>
      <c r="P88" s="4" t="inlineStr">
        <is>
          <t xml:space="preserve">Review</t>
        </is>
      </c>
      <c r="Q88" s="4" t="inlineStr">
        <is>
          <t xml:space="preserve"/>
        </is>
      </c>
      <c r="R88" s="5">
        <f>IF(OR(M88="DUP",N88="DUP",O88="CHECK"),"CHECK","")</f>
      </c>
    </row>
    <row r="89">
      <c r="A89" s="2">
        <v>162</v>
      </c>
      <c r="B89" s="2" t="inlineStr">
        <is>
          <t xml:space="preserve">motivation.5</t>
        </is>
      </c>
      <c r="C89" s="2" t="inlineStr">
        <is>
          <t xml:space="preserve">motivation.5</t>
        </is>
      </c>
      <c r="D89" s="2" t="inlineStr">
        <is>
          <t xml:space="preserve">motivation.5</t>
        </is>
      </c>
      <c r="E89" s="2" t="inlineStr">
        <is>
          <t xml:space="preserve">personal_trainer</t>
        </is>
      </c>
      <c r="F89" s="2" t="inlineStr">
        <is>
          <t xml:space="preserve">core</t>
        </is>
      </c>
      <c r="G89" s="2" t="inlineStr">
        <is>
          <t xml:space="preserve">Discipline beats motivation. Keep going.</t>
        </is>
      </c>
      <c r="H89" s="2" t="inlineStr">
        <is>
          <t xml:space="preserve">Disiplin slår motivasjon. Fortsett.</t>
        </is>
      </c>
      <c r="I89" s="3">
        <f>IF(LEN(TRIM(G89))=0,0,LEN(TRIM(G89))-LEN(SUBSTITUTE(TRIM(G89)," ",""))+1)</f>
      </c>
      <c r="J89" s="3">
        <f>IF(LEN(TRIM(H89))=0,0,LEN(TRIM(H89))-LEN(SUBSTITUTE(TRIM(H89)," ",""))+1)</f>
      </c>
      <c r="K89" s="3">
        <f>LEN(G89)</f>
      </c>
      <c r="L89" s="3">
        <f>LEN(H89)</f>
      </c>
      <c r="M89" s="3">
        <f>IF(COUNTIF($G:$G,G89)&gt;1,"DUP","")</f>
      </c>
      <c r="N89" s="3">
        <f>IF(COUNTIF($H:$H,H89)&gt;1,"DUP","")</f>
      </c>
      <c r="O89" s="3">
        <f>IF(LEFT(B89,LEN(C89))=C89,"OK","CHECK")</f>
      </c>
      <c r="P89" s="4" t="inlineStr">
        <is>
          <t xml:space="preserve">Review</t>
        </is>
      </c>
      <c r="Q89" s="4" t="inlineStr">
        <is>
          <t xml:space="preserve"/>
        </is>
      </c>
      <c r="R89" s="5">
        <f>IF(OR(M89="DUP",N89="DUP",O89="CHECK"),"CHECK","")</f>
      </c>
    </row>
    <row r="90">
      <c r="A90" s="2">
        <v>163</v>
      </c>
      <c r="B90" s="2" t="inlineStr">
        <is>
          <t xml:space="preserve">motivation.6</t>
        </is>
      </c>
      <c r="C90" s="2" t="inlineStr">
        <is>
          <t xml:space="preserve">motivation.6</t>
        </is>
      </c>
      <c r="D90" s="2" t="inlineStr">
        <is>
          <t xml:space="preserve">motivation.6</t>
        </is>
      </c>
      <c r="E90" s="2" t="inlineStr">
        <is>
          <t xml:space="preserve">personal_trainer</t>
        </is>
      </c>
      <c r="F90" s="2" t="inlineStr">
        <is>
          <t xml:space="preserve">core</t>
        </is>
      </c>
      <c r="G90" s="2" t="inlineStr">
        <is>
          <t xml:space="preserve">This is where it counts.</t>
        </is>
      </c>
      <c r="H90" s="2" t="inlineStr">
        <is>
          <t xml:space="preserve">Det er nå det gjelder.</t>
        </is>
      </c>
      <c r="I90" s="3">
        <f>IF(LEN(TRIM(G90))=0,0,LEN(TRIM(G90))-LEN(SUBSTITUTE(TRIM(G90)," ",""))+1)</f>
      </c>
      <c r="J90" s="3">
        <f>IF(LEN(TRIM(H90))=0,0,LEN(TRIM(H90))-LEN(SUBSTITUTE(TRIM(H90)," ",""))+1)</f>
      </c>
      <c r="K90" s="3">
        <f>LEN(G90)</f>
      </c>
      <c r="L90" s="3">
        <f>LEN(H90)</f>
      </c>
      <c r="M90" s="3">
        <f>IF(COUNTIF($G:$G,G90)&gt;1,"DUP","")</f>
      </c>
      <c r="N90" s="3">
        <f>IF(COUNTIF($H:$H,H90)&gt;1,"DUP","")</f>
      </c>
      <c r="O90" s="3">
        <f>IF(LEFT(B90,LEN(C90))=C90,"OK","CHECK")</f>
      </c>
      <c r="P90" s="4" t="inlineStr">
        <is>
          <t xml:space="preserve">Review</t>
        </is>
      </c>
      <c r="Q90" s="4" t="inlineStr">
        <is>
          <t xml:space="preserve"/>
        </is>
      </c>
      <c r="R90" s="5">
        <f>IF(OR(M90="DUP",N90="DUP",O90="CHECK"),"CHECK","")</f>
      </c>
    </row>
    <row r="91">
      <c r="A91" s="2">
        <v>164</v>
      </c>
      <c r="B91" s="2" t="inlineStr">
        <is>
          <t xml:space="preserve">motivation.7</t>
        </is>
      </c>
      <c r="C91" s="2" t="inlineStr">
        <is>
          <t xml:space="preserve">motivation.7</t>
        </is>
      </c>
      <c r="D91" s="2" t="inlineStr">
        <is>
          <t xml:space="preserve">motivation.7</t>
        </is>
      </c>
      <c r="E91" s="2" t="inlineStr">
        <is>
          <t xml:space="preserve">personal_trainer</t>
        </is>
      </c>
      <c r="F91" s="2" t="inlineStr">
        <is>
          <t xml:space="preserve">core</t>
        </is>
      </c>
      <c r="G91" s="2" t="inlineStr">
        <is>
          <t xml:space="preserve">You showed up. Now finish it.</t>
        </is>
      </c>
      <c r="H91" s="2" t="inlineStr">
        <is>
          <t xml:space="preserve">Du møtte opp. Nå fullfører du.</t>
        </is>
      </c>
      <c r="I91" s="3">
        <f>IF(LEN(TRIM(G91))=0,0,LEN(TRIM(G91))-LEN(SUBSTITUTE(TRIM(G91)," ",""))+1)</f>
      </c>
      <c r="J91" s="3">
        <f>IF(LEN(TRIM(H91))=0,0,LEN(TRIM(H91))-LEN(SUBSTITUTE(TRIM(H91)," ",""))+1)</f>
      </c>
      <c r="K91" s="3">
        <f>LEN(G91)</f>
      </c>
      <c r="L91" s="3">
        <f>LEN(H91)</f>
      </c>
      <c r="M91" s="3">
        <f>IF(COUNTIF($G:$G,G91)&gt;1,"DUP","")</f>
      </c>
      <c r="N91" s="3">
        <f>IF(COUNTIF($H:$H,H91)&gt;1,"DUP","")</f>
      </c>
      <c r="O91" s="3">
        <f>IF(LEFT(B91,LEN(C91))=C91,"OK","CHECK")</f>
      </c>
      <c r="P91" s="4" t="inlineStr">
        <is>
          <t xml:space="preserve">Review</t>
        </is>
      </c>
      <c r="Q91" s="4" t="inlineStr">
        <is>
          <t xml:space="preserve"/>
        </is>
      </c>
      <c r="R91" s="5">
        <f>IF(OR(M91="DUP",N91="DUP",O91="CHECK"),"CHECK","")</f>
      </c>
    </row>
    <row r="92">
      <c r="A92" s="2">
        <v>165</v>
      </c>
      <c r="B92" s="2" t="inlineStr">
        <is>
          <t xml:space="preserve">motivation.8</t>
        </is>
      </c>
      <c r="C92" s="2" t="inlineStr">
        <is>
          <t xml:space="preserve">motivation.8</t>
        </is>
      </c>
      <c r="D92" s="2" t="inlineStr">
        <is>
          <t xml:space="preserve">motivation.8</t>
        </is>
      </c>
      <c r="E92" s="2" t="inlineStr">
        <is>
          <t xml:space="preserve">personal_trainer</t>
        </is>
      </c>
      <c r="F92" s="2" t="inlineStr">
        <is>
          <t xml:space="preserve">core</t>
        </is>
      </c>
      <c r="G92" s="2" t="inlineStr">
        <is>
          <t xml:space="preserve">Trust the process.</t>
        </is>
      </c>
      <c r="H92" s="2" t="inlineStr">
        <is>
          <t xml:space="preserve">Stol på prosessen.</t>
        </is>
      </c>
      <c r="I92" s="3">
        <f>IF(LEN(TRIM(G92))=0,0,LEN(TRIM(G92))-LEN(SUBSTITUTE(TRIM(G92)," ",""))+1)</f>
      </c>
      <c r="J92" s="3">
        <f>IF(LEN(TRIM(H92))=0,0,LEN(TRIM(H92))-LEN(SUBSTITUTE(TRIM(H92)," ",""))+1)</f>
      </c>
      <c r="K92" s="3">
        <f>LEN(G92)</f>
      </c>
      <c r="L92" s="3">
        <f>LEN(H92)</f>
      </c>
      <c r="M92" s="3">
        <f>IF(COUNTIF($G:$G,G92)&gt;1,"DUP","")</f>
      </c>
      <c r="N92" s="3">
        <f>IF(COUNTIF($H:$H,H92)&gt;1,"DUP","")</f>
      </c>
      <c r="O92" s="3">
        <f>IF(LEFT(B92,LEN(C92))=C92,"OK","CHECK")</f>
      </c>
      <c r="P92" s="4" t="inlineStr">
        <is>
          <t xml:space="preserve">Review</t>
        </is>
      </c>
      <c r="Q92" s="4" t="inlineStr">
        <is>
          <t xml:space="preserve"/>
        </is>
      </c>
      <c r="R92" s="5">
        <f>IF(OR(M92="DUP",N92="DUP",O92="CHECK"),"CHECK","")</f>
      </c>
    </row>
    <row r="93">
      <c r="A93" s="2">
        <v>166</v>
      </c>
      <c r="B93" s="2" t="inlineStr">
        <is>
          <t xml:space="preserve">motivation.9</t>
        </is>
      </c>
      <c r="C93" s="2" t="inlineStr">
        <is>
          <t xml:space="preserve">motivation.9</t>
        </is>
      </c>
      <c r="D93" s="2" t="inlineStr">
        <is>
          <t xml:space="preserve">motivation.9</t>
        </is>
      </c>
      <c r="E93" s="2" t="inlineStr">
        <is>
          <t xml:space="preserve">personal_trainer</t>
        </is>
      </c>
      <c r="F93" s="2" t="inlineStr">
        <is>
          <t xml:space="preserve">core</t>
        </is>
      </c>
      <c r="G93" s="2" t="inlineStr">
        <is>
          <t xml:space="preserve">Every rep matters.</t>
        </is>
      </c>
      <c r="H93" s="2" t="inlineStr">
        <is>
          <t xml:space="preserve">Hvert steg teller.</t>
        </is>
      </c>
      <c r="I93" s="3">
        <f>IF(LEN(TRIM(G93))=0,0,LEN(TRIM(G93))-LEN(SUBSTITUTE(TRIM(G93)," ",""))+1)</f>
      </c>
      <c r="J93" s="3">
        <f>IF(LEN(TRIM(H93))=0,0,LEN(TRIM(H93))-LEN(SUBSTITUTE(TRIM(H93)," ",""))+1)</f>
      </c>
      <c r="K93" s="3">
        <f>LEN(G93)</f>
      </c>
      <c r="L93" s="3">
        <f>LEN(H93)</f>
      </c>
      <c r="M93" s="3">
        <f>IF(COUNTIF($G:$G,G93)&gt;1,"DUP","")</f>
      </c>
      <c r="N93" s="3">
        <f>IF(COUNTIF($H:$H,H93)&gt;1,"DUP","")</f>
      </c>
      <c r="O93" s="3">
        <f>IF(LEFT(B93,LEN(C93))=C93,"OK","CHECK")</f>
      </c>
      <c r="P93" s="4" t="inlineStr">
        <is>
          <t xml:space="preserve">Review</t>
        </is>
      </c>
      <c r="Q93" s="4" t="inlineStr">
        <is>
          <t xml:space="preserve"/>
        </is>
      </c>
      <c r="R93" s="5">
        <f>IF(OR(M93="DUP",N93="DUP",O93="CHECK"),"CHECK","")</f>
      </c>
    </row>
    <row r="94">
      <c r="A94" s="2">
        <v>89</v>
      </c>
      <c r="B94" s="2" t="inlineStr">
        <is>
          <t xml:space="preserve">toxic.cooldown.1</t>
        </is>
      </c>
      <c r="C94" s="2" t="inlineStr">
        <is>
          <t xml:space="preserve">toxic.cooldown</t>
        </is>
      </c>
      <c r="D94" s="2" t="inlineStr">
        <is>
          <t xml:space="preserve">toxic.cooldown.1</t>
        </is>
      </c>
      <c r="E94" s="2" t="inlineStr">
        <is>
          <t xml:space="preserve">toxic_mode</t>
        </is>
      </c>
      <c r="F94" s="2" t="inlineStr">
        <is>
          <t xml:space="preserve">extended</t>
        </is>
      </c>
      <c r="G94" s="2" t="inlineStr">
        <is>
          <t xml:space="preserve">Done already?! Fine. You EARNED this break.</t>
        </is>
      </c>
      <c r="H94" s="2" t="inlineStr">
        <is>
          <t xml:space="preserve">Ferdig allerede?! Greit. Du FORTJENTE denne pausen.</t>
        </is>
      </c>
      <c r="I94" s="3">
        <f>IF(LEN(TRIM(G94))=0,0,LEN(TRIM(G94))-LEN(SUBSTITUTE(TRIM(G94)," ",""))+1)</f>
      </c>
      <c r="J94" s="3">
        <f>IF(LEN(TRIM(H94))=0,0,LEN(TRIM(H94))-LEN(SUBSTITUTE(TRIM(H94)," ",""))+1)</f>
      </c>
      <c r="K94" s="3">
        <f>LEN(G94)</f>
      </c>
      <c r="L94" s="3">
        <f>LEN(H94)</f>
      </c>
      <c r="M94" s="3">
        <f>IF(COUNTIF($G:$G,G94)&gt;1,"DUP","")</f>
      </c>
      <c r="N94" s="3">
        <f>IF(COUNTIF($H:$H,H94)&gt;1,"DUP","")</f>
      </c>
      <c r="O94" s="3">
        <f>IF(LEFT(B94,LEN(C94))=C94,"OK","CHECK")</f>
      </c>
      <c r="P94" s="4" t="inlineStr">
        <is>
          <t xml:space="preserve">Review</t>
        </is>
      </c>
      <c r="Q94" s="4" t="inlineStr">
        <is>
          <t xml:space="preserve"/>
        </is>
      </c>
      <c r="R94" s="5">
        <f>IF(OR(M94="DUP",N94="DUP",O94="CHECK"),"CHECK","")</f>
      </c>
    </row>
    <row r="95">
      <c r="A95" s="2">
        <v>90</v>
      </c>
      <c r="B95" s="2" t="inlineStr">
        <is>
          <t xml:space="preserve">toxic.cooldown.2</t>
        </is>
      </c>
      <c r="C95" s="2" t="inlineStr">
        <is>
          <t xml:space="preserve">toxic.cooldown</t>
        </is>
      </c>
      <c r="D95" s="2" t="inlineStr">
        <is>
          <t xml:space="preserve">toxic.cooldown.2</t>
        </is>
      </c>
      <c r="E95" s="2" t="inlineStr">
        <is>
          <t xml:space="preserve">toxic_mode</t>
        </is>
      </c>
      <c r="F95" s="2" t="inlineStr">
        <is>
          <t xml:space="preserve">extended</t>
        </is>
      </c>
      <c r="G95" s="2" t="inlineStr">
        <is>
          <t xml:space="preserve">Okay, okay. You survived. Barely.</t>
        </is>
      </c>
      <c r="H95" s="2" t="inlineStr">
        <is>
          <t xml:space="preserve">Ok, ok. Du overlevde. Så vidt.</t>
        </is>
      </c>
      <c r="I95" s="3">
        <f>IF(LEN(TRIM(G95))=0,0,LEN(TRIM(G95))-LEN(SUBSTITUTE(TRIM(G95)," ",""))+1)</f>
      </c>
      <c r="J95" s="3">
        <f>IF(LEN(TRIM(H95))=0,0,LEN(TRIM(H95))-LEN(SUBSTITUTE(TRIM(H95)," ",""))+1)</f>
      </c>
      <c r="K95" s="3">
        <f>LEN(G95)</f>
      </c>
      <c r="L95" s="3">
        <f>LEN(H95)</f>
      </c>
      <c r="M95" s="3">
        <f>IF(COUNTIF($G:$G,G95)&gt;1,"DUP","")</f>
      </c>
      <c r="N95" s="3">
        <f>IF(COUNTIF($H:$H,H95)&gt;1,"DUP","")</f>
      </c>
      <c r="O95" s="3">
        <f>IF(LEFT(B95,LEN(C95))=C95,"OK","CHECK")</f>
      </c>
      <c r="P95" s="4" t="inlineStr">
        <is>
          <t xml:space="preserve">Review</t>
        </is>
      </c>
      <c r="Q95" s="4" t="inlineStr">
        <is>
          <t xml:space="preserve"/>
        </is>
      </c>
      <c r="R95" s="5">
        <f>IF(OR(M95="DUP",N95="DUP",O95="CHECK"),"CHECK","")</f>
      </c>
    </row>
    <row r="96">
      <c r="A96" s="2">
        <v>91</v>
      </c>
      <c r="B96" s="2" t="inlineStr">
        <is>
          <t xml:space="preserve">toxic.cooldown.3</t>
        </is>
      </c>
      <c r="C96" s="2" t="inlineStr">
        <is>
          <t xml:space="preserve">toxic.cooldown</t>
        </is>
      </c>
      <c r="D96" s="2" t="inlineStr">
        <is>
          <t xml:space="preserve">toxic.cooldown.3</t>
        </is>
      </c>
      <c r="E96" s="2" t="inlineStr">
        <is>
          <t xml:space="preserve">toxic_mode</t>
        </is>
      </c>
      <c r="F96" s="2" t="inlineStr">
        <is>
          <t xml:space="preserve">extended</t>
        </is>
      </c>
      <c r="G96" s="2" t="inlineStr">
        <is>
          <t xml:space="preserve">Not the worst I've seen. Rest up.</t>
        </is>
      </c>
      <c r="H96" s="2" t="inlineStr">
        <is>
          <t xml:space="preserve">Ikke det verste jeg har sett. Hvil deg.</t>
        </is>
      </c>
      <c r="I96" s="3">
        <f>IF(LEN(TRIM(G96))=0,0,LEN(TRIM(G96))-LEN(SUBSTITUTE(TRIM(G96)," ",""))+1)</f>
      </c>
      <c r="J96" s="3">
        <f>IF(LEN(TRIM(H96))=0,0,LEN(TRIM(H96))-LEN(SUBSTITUTE(TRIM(H96)," ",""))+1)</f>
      </c>
      <c r="K96" s="3">
        <f>LEN(G96)</f>
      </c>
      <c r="L96" s="3">
        <f>LEN(H96)</f>
      </c>
      <c r="M96" s="3">
        <f>IF(COUNTIF($G:$G,G96)&gt;1,"DUP","")</f>
      </c>
      <c r="N96" s="3">
        <f>IF(COUNTIF($H:$H,H96)&gt;1,"DUP","")</f>
      </c>
      <c r="O96" s="3">
        <f>IF(LEFT(B96,LEN(C96))=C96,"OK","CHECK")</f>
      </c>
      <c r="P96" s="4" t="inlineStr">
        <is>
          <t xml:space="preserve">Review</t>
        </is>
      </c>
      <c r="Q96" s="4" t="inlineStr">
        <is>
          <t xml:space="preserve"/>
        </is>
      </c>
      <c r="R96" s="5">
        <f>IF(OR(M96="DUP",N96="DUP",O96="CHECK"),"CHECK","")</f>
      </c>
    </row>
    <row r="97">
      <c r="A97" s="2">
        <v>92</v>
      </c>
      <c r="B97" s="2" t="inlineStr">
        <is>
          <t xml:space="preserve">toxic.cooldown.4</t>
        </is>
      </c>
      <c r="C97" s="2" t="inlineStr">
        <is>
          <t xml:space="preserve">toxic.cooldown</t>
        </is>
      </c>
      <c r="D97" s="2" t="inlineStr">
        <is>
          <t xml:space="preserve">toxic.cooldown.4</t>
        </is>
      </c>
      <c r="E97" s="2" t="inlineStr">
        <is>
          <t xml:space="preserve">toxic_mode</t>
        </is>
      </c>
      <c r="F97" s="2" t="inlineStr">
        <is>
          <t xml:space="preserve">extended</t>
        </is>
      </c>
      <c r="G97" s="2" t="inlineStr">
        <is>
          <t xml:space="preserve">Acceptable performance. BARELY acceptable.</t>
        </is>
      </c>
      <c r="H97" s="2" t="inlineStr">
        <is>
          <t xml:space="preserve">Godkjent prestasjon. Så vidt godkjent.</t>
        </is>
      </c>
      <c r="I97" s="3">
        <f>IF(LEN(TRIM(G97))=0,0,LEN(TRIM(G97))-LEN(SUBSTITUTE(TRIM(G97)," ",""))+1)</f>
      </c>
      <c r="J97" s="3">
        <f>IF(LEN(TRIM(H97))=0,0,LEN(TRIM(H97))-LEN(SUBSTITUTE(TRIM(H97)," ",""))+1)</f>
      </c>
      <c r="K97" s="3">
        <f>LEN(G97)</f>
      </c>
      <c r="L97" s="3">
        <f>LEN(H97)</f>
      </c>
      <c r="M97" s="3">
        <f>IF(COUNTIF($G:$G,G97)&gt;1,"DUP","")</f>
      </c>
      <c r="N97" s="3">
        <f>IF(COUNTIF($H:$H,H97)&gt;1,"DUP","")</f>
      </c>
      <c r="O97" s="3">
        <f>IF(LEFT(B97,LEN(C97))=C97,"OK","CHECK")</f>
      </c>
      <c r="P97" s="4" t="inlineStr">
        <is>
          <t xml:space="preserve">Review</t>
        </is>
      </c>
      <c r="Q97" s="4" t="inlineStr">
        <is>
          <t xml:space="preserve"/>
        </is>
      </c>
      <c r="R97" s="5">
        <f>IF(OR(M97="DUP",N97="DUP",O97="CHECK"),"CHECK","")</f>
      </c>
    </row>
    <row r="98">
      <c r="A98" s="2">
        <v>93</v>
      </c>
      <c r="B98" s="2" t="inlineStr">
        <is>
          <t xml:space="preserve">toxic.cooldown.5</t>
        </is>
      </c>
      <c r="C98" s="2" t="inlineStr">
        <is>
          <t xml:space="preserve">toxic.cooldown</t>
        </is>
      </c>
      <c r="D98" s="2" t="inlineStr">
        <is>
          <t xml:space="preserve">toxic.cooldown.5</t>
        </is>
      </c>
      <c r="E98" s="2" t="inlineStr">
        <is>
          <t xml:space="preserve">toxic_mode</t>
        </is>
      </c>
      <c r="F98" s="2" t="inlineStr">
        <is>
          <t xml:space="preserve">extended</t>
        </is>
      </c>
      <c r="G98" s="2" t="inlineStr">
        <is>
          <t xml:space="preserve">Alright, breathe. You'll need it for next time.</t>
        </is>
      </c>
      <c r="H98" s="2" t="inlineStr">
        <is>
          <t xml:space="preserve">Greit, pust. Du trenger det til neste gang.</t>
        </is>
      </c>
      <c r="I98" s="3">
        <f>IF(LEN(TRIM(G98))=0,0,LEN(TRIM(G98))-LEN(SUBSTITUTE(TRIM(G98)," ",""))+1)</f>
      </c>
      <c r="J98" s="3">
        <f>IF(LEN(TRIM(H98))=0,0,LEN(TRIM(H98))-LEN(SUBSTITUTE(TRIM(H98)," ",""))+1)</f>
      </c>
      <c r="K98" s="3">
        <f>LEN(G98)</f>
      </c>
      <c r="L98" s="3">
        <f>LEN(H98)</f>
      </c>
      <c r="M98" s="3">
        <f>IF(COUNTIF($G:$G,G98)&gt;1,"DUP","")</f>
      </c>
      <c r="N98" s="3">
        <f>IF(COUNTIF($H:$H,H98)&gt;1,"DUP","")</f>
      </c>
      <c r="O98" s="3">
        <f>IF(LEFT(B98,LEN(C98))=C98,"OK","CHECK")</f>
      </c>
      <c r="P98" s="4" t="inlineStr">
        <is>
          <t xml:space="preserve">Review</t>
        </is>
      </c>
      <c r="Q98" s="4" t="inlineStr">
        <is>
          <t xml:space="preserve"/>
        </is>
      </c>
      <c r="R98" s="5">
        <f>IF(OR(M98="DUP",N98="DUP",O98="CHECK"),"CHECK","")</f>
      </c>
    </row>
    <row r="99">
      <c r="A99" s="2">
        <v>94</v>
      </c>
      <c r="B99" s="2" t="inlineStr">
        <is>
          <t xml:space="preserve">toxic.critical.1</t>
        </is>
      </c>
      <c r="C99" s="2" t="inlineStr">
        <is>
          <t xml:space="preserve">toxic.critical</t>
        </is>
      </c>
      <c r="D99" s="2" t="inlineStr">
        <is>
          <t xml:space="preserve">toxic.critical.1</t>
        </is>
      </c>
      <c r="E99" s="2" t="inlineStr">
        <is>
          <t xml:space="preserve">toxic_mode</t>
        </is>
      </c>
      <c r="F99" s="2" t="inlineStr">
        <is>
          <t xml:space="preserve">extended</t>
        </is>
      </c>
      <c r="G99" s="2" t="inlineStr">
        <is>
          <t xml:space="preserve">Alright, real talk. Breathe. Safety first.</t>
        </is>
      </c>
      <c r="H99" s="2" t="inlineStr">
        <is>
          <t xml:space="preserve">Ok, alvor nå. Pust. Sikkerhet først.</t>
        </is>
      </c>
      <c r="I99" s="3">
        <f>IF(LEN(TRIM(G99))=0,0,LEN(TRIM(G99))-LEN(SUBSTITUTE(TRIM(G99)," ",""))+1)</f>
      </c>
      <c r="J99" s="3">
        <f>IF(LEN(TRIM(H99))=0,0,LEN(TRIM(H99))-LEN(SUBSTITUTE(TRIM(H99)," ",""))+1)</f>
      </c>
      <c r="K99" s="3">
        <f>LEN(G99)</f>
      </c>
      <c r="L99" s="3">
        <f>LEN(H99)</f>
      </c>
      <c r="M99" s="3">
        <f>IF(COUNTIF($G:$G,G99)&gt;1,"DUP","")</f>
      </c>
      <c r="N99" s="3">
        <f>IF(COUNTIF($H:$H,H99)&gt;1,"DUP","")</f>
      </c>
      <c r="O99" s="3">
        <f>IF(LEFT(B99,LEN(C99))=C99,"OK","CHECK")</f>
      </c>
      <c r="P99" s="4" t="inlineStr">
        <is>
          <t xml:space="preserve">Review</t>
        </is>
      </c>
      <c r="Q99" s="4" t="inlineStr">
        <is>
          <t xml:space="preserve"/>
        </is>
      </c>
      <c r="R99" s="5">
        <f>IF(OR(M99="DUP",N99="DUP",O99="CHECK"),"CHECK","")</f>
      </c>
    </row>
    <row r="100">
      <c r="A100" s="2">
        <v>95</v>
      </c>
      <c r="B100" s="2" t="inlineStr">
        <is>
          <t xml:space="preserve">toxic.critical.2</t>
        </is>
      </c>
      <c r="C100" s="2" t="inlineStr">
        <is>
          <t xml:space="preserve">toxic.critical</t>
        </is>
      </c>
      <c r="D100" s="2" t="inlineStr">
        <is>
          <t xml:space="preserve">toxic.critical.2</t>
        </is>
      </c>
      <c r="E100" s="2" t="inlineStr">
        <is>
          <t xml:space="preserve">toxic_mode</t>
        </is>
      </c>
      <c r="F100" s="2" t="inlineStr">
        <is>
          <t xml:space="preserve">extended</t>
        </is>
      </c>
      <c r="G100" s="2" t="inlineStr">
        <is>
          <t xml:space="preserve">Okay, stop. I'm tough, not stupid. Rest.</t>
        </is>
      </c>
      <c r="H100" s="2" t="inlineStr">
        <is>
          <t xml:space="preserve">Ok, stopp. Jeg er toff, ikke dum. Hvil.</t>
        </is>
      </c>
      <c r="I100" s="3">
        <f>IF(LEN(TRIM(G100))=0,0,LEN(TRIM(G100))-LEN(SUBSTITUTE(TRIM(G100)," ",""))+1)</f>
      </c>
      <c r="J100" s="3">
        <f>IF(LEN(TRIM(H100))=0,0,LEN(TRIM(H100))-LEN(SUBSTITUTE(TRIM(H100)," ",""))+1)</f>
      </c>
      <c r="K100" s="3">
        <f>LEN(G100)</f>
      </c>
      <c r="L100" s="3">
        <f>LEN(H100)</f>
      </c>
      <c r="M100" s="3">
        <f>IF(COUNTIF($G:$G,G100)&gt;1,"DUP","")</f>
      </c>
      <c r="N100" s="3">
        <f>IF(COUNTIF($H:$H,H100)&gt;1,"DUP","")</f>
      </c>
      <c r="O100" s="3">
        <f>IF(LEFT(B100,LEN(C100))=C100,"OK","CHECK")</f>
      </c>
      <c r="P100" s="4" t="inlineStr">
        <is>
          <t xml:space="preserve">Review</t>
        </is>
      </c>
      <c r="Q100" s="4" t="inlineStr">
        <is>
          <t xml:space="preserve"/>
        </is>
      </c>
      <c r="R100" s="5">
        <f>IF(OR(M100="DUP",N100="DUP",O100="CHECK"),"CHECK","")</f>
      </c>
    </row>
    <row r="101">
      <c r="A101" s="2">
        <v>96</v>
      </c>
      <c r="B101" s="2" t="inlineStr">
        <is>
          <t xml:space="preserve">toxic.critical.3</t>
        </is>
      </c>
      <c r="C101" s="2" t="inlineStr">
        <is>
          <t xml:space="preserve">toxic.critical</t>
        </is>
      </c>
      <c r="D101" s="2" t="inlineStr">
        <is>
          <t xml:space="preserve">toxic.critical.3</t>
        </is>
      </c>
      <c r="E101" s="2" t="inlineStr">
        <is>
          <t xml:space="preserve">toxic_mode</t>
        </is>
      </c>
      <c r="F101" s="2" t="inlineStr">
        <is>
          <t xml:space="preserve">extended</t>
        </is>
      </c>
      <c r="G101" s="2" t="inlineStr">
        <is>
          <t xml:space="preserve">Hey. Real break. Breathe slow. I mean it.</t>
        </is>
      </c>
      <c r="H101" s="2" t="inlineStr">
        <is>
          <t xml:space="preserve">Hei. Ordentlig pause. Pust rolig. Jeg mener det.</t>
        </is>
      </c>
      <c r="I101" s="3">
        <f>IF(LEN(TRIM(G101))=0,0,LEN(TRIM(G101))-LEN(SUBSTITUTE(TRIM(G101)," ",""))+1)</f>
      </c>
      <c r="J101" s="3">
        <f>IF(LEN(TRIM(H101))=0,0,LEN(TRIM(H101))-LEN(SUBSTITUTE(TRIM(H101)," ",""))+1)</f>
      </c>
      <c r="K101" s="3">
        <f>LEN(G101)</f>
      </c>
      <c r="L101" s="3">
        <f>LEN(H101)</f>
      </c>
      <c r="M101" s="3">
        <f>IF(COUNTIF($G:$G,G101)&gt;1,"DUP","")</f>
      </c>
      <c r="N101" s="3">
        <f>IF(COUNTIF($H:$H,H101)&gt;1,"DUP","")</f>
      </c>
      <c r="O101" s="3">
        <f>IF(LEFT(B101,LEN(C101))=C101,"OK","CHECK")</f>
      </c>
      <c r="P101" s="4" t="inlineStr">
        <is>
          <t xml:space="preserve">Review</t>
        </is>
      </c>
      <c r="Q101" s="4" t="inlineStr">
        <is>
          <t xml:space="preserve"/>
        </is>
      </c>
      <c r="R101" s="5">
        <f>IF(OR(M101="DUP",N101="DUP",O101="CHECK"),"CHECK","")</f>
      </c>
    </row>
    <row r="102">
      <c r="A102" s="2">
        <v>74</v>
      </c>
      <c r="B102" s="2" t="inlineStr">
        <is>
          <t xml:space="preserve">toxic.intense.calm.1</t>
        </is>
      </c>
      <c r="C102" s="2" t="inlineStr">
        <is>
          <t xml:space="preserve">toxic.intense</t>
        </is>
      </c>
      <c r="D102" s="2" t="inlineStr">
        <is>
          <t xml:space="preserve">toxic.intense.calm</t>
        </is>
      </c>
      <c r="E102" s="2" t="inlineStr">
        <is>
          <t xml:space="preserve">toxic_mode</t>
        </is>
      </c>
      <c r="F102" s="2" t="inlineStr">
        <is>
          <t xml:space="preserve">extended</t>
        </is>
      </c>
      <c r="G102" s="2" t="inlineStr">
        <is>
          <t xml:space="preserve">PATHETIC! My grandma pushes harder!</t>
        </is>
      </c>
      <c r="H102" s="2" t="inlineStr">
        <is>
          <t xml:space="preserve">PATETISK! Bestemora mi presser hardere!</t>
        </is>
      </c>
      <c r="I102" s="3">
        <f>IF(LEN(TRIM(G102))=0,0,LEN(TRIM(G102))-LEN(SUBSTITUTE(TRIM(G102)," ",""))+1)</f>
      </c>
      <c r="J102" s="3">
        <f>IF(LEN(TRIM(H102))=0,0,LEN(TRIM(H102))-LEN(SUBSTITUTE(TRIM(H102)," ",""))+1)</f>
      </c>
      <c r="K102" s="3">
        <f>LEN(G102)</f>
      </c>
      <c r="L102" s="3">
        <f>LEN(H102)</f>
      </c>
      <c r="M102" s="3">
        <f>IF(COUNTIF($G:$G,G102)&gt;1,"DUP","")</f>
      </c>
      <c r="N102" s="3">
        <f>IF(COUNTIF($H:$H,H102)&gt;1,"DUP","")</f>
      </c>
      <c r="O102" s="3">
        <f>IF(LEFT(B102,LEN(C102))=C102,"OK","CHECK")</f>
      </c>
      <c r="P102" s="4" t="inlineStr">
        <is>
          <t xml:space="preserve">Review</t>
        </is>
      </c>
      <c r="Q102" s="4" t="inlineStr">
        <is>
          <t xml:space="preserve"/>
        </is>
      </c>
      <c r="R102" s="5">
        <f>IF(OR(M102="DUP",N102="DUP",O102="CHECK"),"CHECK","")</f>
      </c>
    </row>
    <row r="103">
      <c r="A103" s="2">
        <v>75</v>
      </c>
      <c r="B103" s="2" t="inlineStr">
        <is>
          <t xml:space="preserve">toxic.intense.calm.2</t>
        </is>
      </c>
      <c r="C103" s="2" t="inlineStr">
        <is>
          <t xml:space="preserve">toxic.intense</t>
        </is>
      </c>
      <c r="D103" s="2" t="inlineStr">
        <is>
          <t xml:space="preserve">toxic.intense.calm</t>
        </is>
      </c>
      <c r="E103" s="2" t="inlineStr">
        <is>
          <t xml:space="preserve">toxic_mode</t>
        </is>
      </c>
      <c r="F103" s="2" t="inlineStr">
        <is>
          <t xml:space="preserve">extended</t>
        </is>
      </c>
      <c r="G103" s="2" t="inlineStr">
        <is>
          <t xml:space="preserve">Are you even TRYING?! MOVE!</t>
        </is>
      </c>
      <c r="H103" s="2" t="inlineStr">
        <is>
          <t xml:space="preserve">PRØVER du i det hele tatt?! BEVEG DEG!</t>
        </is>
      </c>
      <c r="I103" s="3">
        <f>IF(LEN(TRIM(G103))=0,0,LEN(TRIM(G103))-LEN(SUBSTITUTE(TRIM(G103)," ",""))+1)</f>
      </c>
      <c r="J103" s="3">
        <f>IF(LEN(TRIM(H103))=0,0,LEN(TRIM(H103))-LEN(SUBSTITUTE(TRIM(H103)," ",""))+1)</f>
      </c>
      <c r="K103" s="3">
        <f>LEN(G103)</f>
      </c>
      <c r="L103" s="3">
        <f>LEN(H103)</f>
      </c>
      <c r="M103" s="3">
        <f>IF(COUNTIF($G:$G,G103)&gt;1,"DUP","")</f>
      </c>
      <c r="N103" s="3">
        <f>IF(COUNTIF($H:$H,H103)&gt;1,"DUP","")</f>
      </c>
      <c r="O103" s="3">
        <f>IF(LEFT(B103,LEN(C103))=C103,"OK","CHECK")</f>
      </c>
      <c r="P103" s="4" t="inlineStr">
        <is>
          <t xml:space="preserve">Review</t>
        </is>
      </c>
      <c r="Q103" s="4" t="inlineStr">
        <is>
          <t xml:space="preserve"/>
        </is>
      </c>
      <c r="R103" s="5">
        <f>IF(OR(M103="DUP",N103="DUP",O103="CHECK"),"CHECK","")</f>
      </c>
    </row>
    <row r="104">
      <c r="A104" s="2">
        <v>76</v>
      </c>
      <c r="B104" s="2" t="inlineStr">
        <is>
          <t xml:space="preserve">toxic.intense.calm.3</t>
        </is>
      </c>
      <c r="C104" s="2" t="inlineStr">
        <is>
          <t xml:space="preserve">toxic.intense</t>
        </is>
      </c>
      <c r="D104" s="2" t="inlineStr">
        <is>
          <t xml:space="preserve">toxic.intense.calm</t>
        </is>
      </c>
      <c r="E104" s="2" t="inlineStr">
        <is>
          <t xml:space="preserve">toxic_mode</t>
        </is>
      </c>
      <c r="F104" s="2" t="inlineStr">
        <is>
          <t xml:space="preserve">extended</t>
        </is>
      </c>
      <c r="G104" s="2" t="inlineStr">
        <is>
          <t xml:space="preserve">I've seen SNAILS with more intensity!</t>
        </is>
      </c>
      <c r="H104" s="2" t="inlineStr">
        <is>
          <t xml:space="preserve">Jeg har sett SNEGLER med mer intensitet!</t>
        </is>
      </c>
      <c r="I104" s="3">
        <f>IF(LEN(TRIM(G104))=0,0,LEN(TRIM(G104))-LEN(SUBSTITUTE(TRIM(G104)," ",""))+1)</f>
      </c>
      <c r="J104" s="3">
        <f>IF(LEN(TRIM(H104))=0,0,LEN(TRIM(H104))-LEN(SUBSTITUTE(TRIM(H104)," ",""))+1)</f>
      </c>
      <c r="K104" s="3">
        <f>LEN(G104)</f>
      </c>
      <c r="L104" s="3">
        <f>LEN(H104)</f>
      </c>
      <c r="M104" s="3">
        <f>IF(COUNTIF($G:$G,G104)&gt;1,"DUP","")</f>
      </c>
      <c r="N104" s="3">
        <f>IF(COUNTIF($H:$H,H104)&gt;1,"DUP","")</f>
      </c>
      <c r="O104" s="3">
        <f>IF(LEFT(B104,LEN(C104))=C104,"OK","CHECK")</f>
      </c>
      <c r="P104" s="4" t="inlineStr">
        <is>
          <t xml:space="preserve">Review</t>
        </is>
      </c>
      <c r="Q104" s="4" t="inlineStr">
        <is>
          <t xml:space="preserve"/>
        </is>
      </c>
      <c r="R104" s="5">
        <f>IF(OR(M104="DUP",N104="DUP",O104="CHECK"),"CHECK","")</f>
      </c>
    </row>
    <row r="105">
      <c r="A105" s="2">
        <v>77</v>
      </c>
      <c r="B105" s="2" t="inlineStr">
        <is>
          <t xml:space="preserve">toxic.intense.calm.4</t>
        </is>
      </c>
      <c r="C105" s="2" t="inlineStr">
        <is>
          <t xml:space="preserve">toxic.intense</t>
        </is>
      </c>
      <c r="D105" s="2" t="inlineStr">
        <is>
          <t xml:space="preserve">toxic.intense.calm</t>
        </is>
      </c>
      <c r="E105" s="2" t="inlineStr">
        <is>
          <t xml:space="preserve">toxic_mode</t>
        </is>
      </c>
      <c r="F105" s="2" t="inlineStr">
        <is>
          <t xml:space="preserve">extended</t>
        </is>
      </c>
      <c r="G105" s="2" t="inlineStr">
        <is>
          <t xml:space="preserve">Is that ALL you got?! EMBARRASSING!</t>
        </is>
      </c>
      <c r="H105" s="2" t="inlineStr">
        <is>
          <t xml:space="preserve">Er det ALT du har?! PINLIG!</t>
        </is>
      </c>
      <c r="I105" s="3">
        <f>IF(LEN(TRIM(G105))=0,0,LEN(TRIM(G105))-LEN(SUBSTITUTE(TRIM(G105)," ",""))+1)</f>
      </c>
      <c r="J105" s="3">
        <f>IF(LEN(TRIM(H105))=0,0,LEN(TRIM(H105))-LEN(SUBSTITUTE(TRIM(H105)," ",""))+1)</f>
      </c>
      <c r="K105" s="3">
        <f>LEN(G105)</f>
      </c>
      <c r="L105" s="3">
        <f>LEN(H105)</f>
      </c>
      <c r="M105" s="3">
        <f>IF(COUNTIF($G:$G,G105)&gt;1,"DUP","")</f>
      </c>
      <c r="N105" s="3">
        <f>IF(COUNTIF($H:$H,H105)&gt;1,"DUP","")</f>
      </c>
      <c r="O105" s="3">
        <f>IF(LEFT(B105,LEN(C105))=C105,"OK","CHECK")</f>
      </c>
      <c r="P105" s="4" t="inlineStr">
        <is>
          <t xml:space="preserve">Review</t>
        </is>
      </c>
      <c r="Q105" s="4" t="inlineStr">
        <is>
          <t xml:space="preserve"/>
        </is>
      </c>
      <c r="R105" s="5">
        <f>IF(OR(M105="DUP",N105="DUP",O105="CHECK"),"CHECK","")</f>
      </c>
    </row>
    <row r="106">
      <c r="A106" s="2">
        <v>78</v>
      </c>
      <c r="B106" s="2" t="inlineStr">
        <is>
          <t xml:space="preserve">toxic.intense.calm.5</t>
        </is>
      </c>
      <c r="C106" s="2" t="inlineStr">
        <is>
          <t xml:space="preserve">toxic.intense</t>
        </is>
      </c>
      <c r="D106" s="2" t="inlineStr">
        <is>
          <t xml:space="preserve">toxic.intense.calm</t>
        </is>
      </c>
      <c r="E106" s="2" t="inlineStr">
        <is>
          <t xml:space="preserve">toxic_mode</t>
        </is>
      </c>
      <c r="F106" s="2" t="inlineStr">
        <is>
          <t xml:space="preserve">extended</t>
        </is>
      </c>
      <c r="G106" s="2" t="inlineStr">
        <is>
          <t xml:space="preserve">WAKE UP! This isn't a spa day!</t>
        </is>
      </c>
      <c r="H106" s="2" t="inlineStr">
        <is>
          <t xml:space="preserve">VÅKN OPP! Dette er ikke en spa-dag!</t>
        </is>
      </c>
      <c r="I106" s="3">
        <f>IF(LEN(TRIM(G106))=0,0,LEN(TRIM(G106))-LEN(SUBSTITUTE(TRIM(G106)," ",""))+1)</f>
      </c>
      <c r="J106" s="3">
        <f>IF(LEN(TRIM(H106))=0,0,LEN(TRIM(H106))-LEN(SUBSTITUTE(TRIM(H106)," ",""))+1)</f>
      </c>
      <c r="K106" s="3">
        <f>LEN(G106)</f>
      </c>
      <c r="L106" s="3">
        <f>LEN(H106)</f>
      </c>
      <c r="M106" s="3">
        <f>IF(COUNTIF($G:$G,G106)&gt;1,"DUP","")</f>
      </c>
      <c r="N106" s="3">
        <f>IF(COUNTIF($H:$H,H106)&gt;1,"DUP","")</f>
      </c>
      <c r="O106" s="3">
        <f>IF(LEFT(B106,LEN(C106))=C106,"OK","CHECK")</f>
      </c>
      <c r="P106" s="4" t="inlineStr">
        <is>
          <t xml:space="preserve">Review</t>
        </is>
      </c>
      <c r="Q106" s="4" t="inlineStr">
        <is>
          <t xml:space="preserve"/>
        </is>
      </c>
      <c r="R106" s="5">
        <f>IF(OR(M106="DUP",N106="DUP",O106="CHECK"),"CHECK","")</f>
      </c>
    </row>
    <row r="107">
      <c r="A107" s="2">
        <v>84</v>
      </c>
      <c r="B107" s="2" t="inlineStr">
        <is>
          <t xml:space="preserve">toxic.intense.intense.1</t>
        </is>
      </c>
      <c r="C107" s="2" t="inlineStr">
        <is>
          <t xml:space="preserve">toxic.intense</t>
        </is>
      </c>
      <c r="D107" s="2" t="inlineStr">
        <is>
          <t xml:space="preserve">toxic.intense.intense</t>
        </is>
      </c>
      <c r="E107" s="2" t="inlineStr">
        <is>
          <t xml:space="preserve">toxic_mode</t>
        </is>
      </c>
      <c r="F107" s="2" t="inlineStr">
        <is>
          <t xml:space="preserve">extended</t>
        </is>
      </c>
      <c r="G107" s="2" t="inlineStr">
        <is>
          <t xml:space="preserve">FINALLY! Was that so hard?!</t>
        </is>
      </c>
      <c r="H107" s="2" t="inlineStr">
        <is>
          <t xml:space="preserve">ENDELIG! Var det så vanskelig?!</t>
        </is>
      </c>
      <c r="I107" s="3">
        <f>IF(LEN(TRIM(G107))=0,0,LEN(TRIM(G107))-LEN(SUBSTITUTE(TRIM(G107)," ",""))+1)</f>
      </c>
      <c r="J107" s="3">
        <f>IF(LEN(TRIM(H107))=0,0,LEN(TRIM(H107))-LEN(SUBSTITUTE(TRIM(H107)," ",""))+1)</f>
      </c>
      <c r="K107" s="3">
        <f>LEN(G107)</f>
      </c>
      <c r="L107" s="3">
        <f>LEN(H107)</f>
      </c>
      <c r="M107" s="3">
        <f>IF(COUNTIF($G:$G,G107)&gt;1,"DUP","")</f>
      </c>
      <c r="N107" s="3">
        <f>IF(COUNTIF($H:$H,H107)&gt;1,"DUP","")</f>
      </c>
      <c r="O107" s="3">
        <f>IF(LEFT(B107,LEN(C107))=C107,"OK","CHECK")</f>
      </c>
      <c r="P107" s="4" t="inlineStr">
        <is>
          <t xml:space="preserve">Review</t>
        </is>
      </c>
      <c r="Q107" s="4" t="inlineStr">
        <is>
          <t xml:space="preserve"/>
        </is>
      </c>
      <c r="R107" s="5">
        <f>IF(OR(M107="DUP",N107="DUP",O107="CHECK"),"CHECK","")</f>
      </c>
    </row>
    <row r="108">
      <c r="A108" s="2">
        <v>85</v>
      </c>
      <c r="B108" s="2" t="inlineStr">
        <is>
          <t xml:space="preserve">toxic.intense.intense.2</t>
        </is>
      </c>
      <c r="C108" s="2" t="inlineStr">
        <is>
          <t xml:space="preserve">toxic.intense</t>
        </is>
      </c>
      <c r="D108" s="2" t="inlineStr">
        <is>
          <t xml:space="preserve">toxic.intense.intense</t>
        </is>
      </c>
      <c r="E108" s="2" t="inlineStr">
        <is>
          <t xml:space="preserve">toxic_mode</t>
        </is>
      </c>
      <c r="F108" s="2" t="inlineStr">
        <is>
          <t xml:space="preserve">extended</t>
        </is>
      </c>
      <c r="G108" s="2" t="inlineStr">
        <is>
          <t xml:space="preserve">NOW we're talking! Don't you DARE slow down!</t>
        </is>
      </c>
      <c r="H108" s="2" t="inlineStr">
        <is>
          <t xml:space="preserve">NÅ snakker vi! Ikke VÅG å senke farten!</t>
        </is>
      </c>
      <c r="I108" s="3">
        <f>IF(LEN(TRIM(G108))=0,0,LEN(TRIM(G108))-LEN(SUBSTITUTE(TRIM(G108)," ",""))+1)</f>
      </c>
      <c r="J108" s="3">
        <f>IF(LEN(TRIM(H108))=0,0,LEN(TRIM(H108))-LEN(SUBSTITUTE(TRIM(H108)," ",""))+1)</f>
      </c>
      <c r="K108" s="3">
        <f>LEN(G108)</f>
      </c>
      <c r="L108" s="3">
        <f>LEN(H108)</f>
      </c>
      <c r="M108" s="3">
        <f>IF(COUNTIF($G:$G,G108)&gt;1,"DUP","")</f>
      </c>
      <c r="N108" s="3">
        <f>IF(COUNTIF($H:$H,H108)&gt;1,"DUP","")</f>
      </c>
      <c r="O108" s="3">
        <f>IF(LEFT(B108,LEN(C108))=C108,"OK","CHECK")</f>
      </c>
      <c r="P108" s="4" t="inlineStr">
        <is>
          <t xml:space="preserve">Review</t>
        </is>
      </c>
      <c r="Q108" s="4" t="inlineStr">
        <is>
          <t xml:space="preserve"/>
        </is>
      </c>
      <c r="R108" s="5">
        <f>IF(OR(M108="DUP",N108="DUP",O108="CHECK"),"CHECK","")</f>
      </c>
    </row>
    <row r="109">
      <c r="A109" s="2">
        <v>86</v>
      </c>
      <c r="B109" s="2" t="inlineStr">
        <is>
          <t xml:space="preserve">toxic.intense.intense.3</t>
        </is>
      </c>
      <c r="C109" s="2" t="inlineStr">
        <is>
          <t xml:space="preserve">toxic.intense</t>
        </is>
      </c>
      <c r="D109" s="2" t="inlineStr">
        <is>
          <t xml:space="preserve">toxic.intense.intense</t>
        </is>
      </c>
      <c r="E109" s="2" t="inlineStr">
        <is>
          <t xml:space="preserve">toxic_mode</t>
        </is>
      </c>
      <c r="F109" s="2" t="inlineStr">
        <is>
          <t xml:space="preserve">extended</t>
        </is>
      </c>
      <c r="G109" s="2" t="inlineStr">
        <is>
          <t xml:space="preserve">THERE it is! About TIME!</t>
        </is>
      </c>
      <c r="H109" s="2" t="inlineStr">
        <is>
          <t xml:space="preserve">DER er det! På TIDE!</t>
        </is>
      </c>
      <c r="I109" s="3">
        <f>IF(LEN(TRIM(G109))=0,0,LEN(TRIM(G109))-LEN(SUBSTITUTE(TRIM(G109)," ",""))+1)</f>
      </c>
      <c r="J109" s="3">
        <f>IF(LEN(TRIM(H109))=0,0,LEN(TRIM(H109))-LEN(SUBSTITUTE(TRIM(H109)," ",""))+1)</f>
      </c>
      <c r="K109" s="3">
        <f>LEN(G109)</f>
      </c>
      <c r="L109" s="3">
        <f>LEN(H109)</f>
      </c>
      <c r="M109" s="3">
        <f>IF(COUNTIF($G:$G,G109)&gt;1,"DUP","")</f>
      </c>
      <c r="N109" s="3">
        <f>IF(COUNTIF($H:$H,H109)&gt;1,"DUP","")</f>
      </c>
      <c r="O109" s="3">
        <f>IF(LEFT(B109,LEN(C109))=C109,"OK","CHECK")</f>
      </c>
      <c r="P109" s="4" t="inlineStr">
        <is>
          <t xml:space="preserve">Review</t>
        </is>
      </c>
      <c r="Q109" s="4" t="inlineStr">
        <is>
          <t xml:space="preserve"/>
        </is>
      </c>
      <c r="R109" s="5">
        <f>IF(OR(M109="DUP",N109="DUP",O109="CHECK"),"CHECK","")</f>
      </c>
    </row>
    <row r="110">
      <c r="A110" s="2">
        <v>87</v>
      </c>
      <c r="B110" s="2" t="inlineStr">
        <is>
          <t xml:space="preserve">toxic.intense.intense.4</t>
        </is>
      </c>
      <c r="C110" s="2" t="inlineStr">
        <is>
          <t xml:space="preserve">toxic.intense</t>
        </is>
      </c>
      <c r="D110" s="2" t="inlineStr">
        <is>
          <t xml:space="preserve">toxic.intense.intense</t>
        </is>
      </c>
      <c r="E110" s="2" t="inlineStr">
        <is>
          <t xml:space="preserve">toxic_mode</t>
        </is>
      </c>
      <c r="F110" s="2" t="inlineStr">
        <is>
          <t xml:space="preserve">extended</t>
        </is>
      </c>
      <c r="G110" s="2" t="inlineStr">
        <is>
          <t xml:space="preserve">YES! That's what I want! MORE!</t>
        </is>
      </c>
      <c r="H110" s="2" t="inlineStr">
        <is>
          <t xml:space="preserve">JA! Det er det jeg vil ha! MER!</t>
        </is>
      </c>
      <c r="I110" s="3">
        <f>IF(LEN(TRIM(G110))=0,0,LEN(TRIM(G110))-LEN(SUBSTITUTE(TRIM(G110)," ",""))+1)</f>
      </c>
      <c r="J110" s="3">
        <f>IF(LEN(TRIM(H110))=0,0,LEN(TRIM(H110))-LEN(SUBSTITUTE(TRIM(H110)," ",""))+1)</f>
      </c>
      <c r="K110" s="3">
        <f>LEN(G110)</f>
      </c>
      <c r="L110" s="3">
        <f>LEN(H110)</f>
      </c>
      <c r="M110" s="3">
        <f>IF(COUNTIF($G:$G,G110)&gt;1,"DUP","")</f>
      </c>
      <c r="N110" s="3">
        <f>IF(COUNTIF($H:$H,H110)&gt;1,"DUP","")</f>
      </c>
      <c r="O110" s="3">
        <f>IF(LEFT(B110,LEN(C110))=C110,"OK","CHECK")</f>
      </c>
      <c r="P110" s="4" t="inlineStr">
        <is>
          <t xml:space="preserve">Review</t>
        </is>
      </c>
      <c r="Q110" s="4" t="inlineStr">
        <is>
          <t xml:space="preserve"/>
        </is>
      </c>
      <c r="R110" s="5">
        <f>IF(OR(M110="DUP",N110="DUP",O110="CHECK"),"CHECK","")</f>
      </c>
    </row>
    <row r="111">
      <c r="A111" s="2">
        <v>88</v>
      </c>
      <c r="B111" s="2" t="inlineStr">
        <is>
          <t xml:space="preserve">toxic.intense.intense.5</t>
        </is>
      </c>
      <c r="C111" s="2" t="inlineStr">
        <is>
          <t xml:space="preserve">toxic.intense</t>
        </is>
      </c>
      <c r="D111" s="2" t="inlineStr">
        <is>
          <t xml:space="preserve">toxic.intense.intense</t>
        </is>
      </c>
      <c r="E111" s="2" t="inlineStr">
        <is>
          <t xml:space="preserve">toxic_mode</t>
        </is>
      </c>
      <c r="F111" s="2" t="inlineStr">
        <is>
          <t xml:space="preserve">extended</t>
        </is>
      </c>
      <c r="G111" s="2" t="inlineStr">
        <is>
          <t xml:space="preserve">Not bad. But I want BETTER!</t>
        </is>
      </c>
      <c r="H111" s="2" t="inlineStr">
        <is>
          <t xml:space="preserve">Ikke verst. Men jeg vil ha BEDRE!</t>
        </is>
      </c>
      <c r="I111" s="3">
        <f>IF(LEN(TRIM(G111))=0,0,LEN(TRIM(G111))-LEN(SUBSTITUTE(TRIM(G111)," ",""))+1)</f>
      </c>
      <c r="J111" s="3">
        <f>IF(LEN(TRIM(H111))=0,0,LEN(TRIM(H111))-LEN(SUBSTITUTE(TRIM(H111)," ",""))+1)</f>
      </c>
      <c r="K111" s="3">
        <f>LEN(G111)</f>
      </c>
      <c r="L111" s="3">
        <f>LEN(H111)</f>
      </c>
      <c r="M111" s="3">
        <f>IF(COUNTIF($G:$G,G111)&gt;1,"DUP","")</f>
      </c>
      <c r="N111" s="3">
        <f>IF(COUNTIF($H:$H,H111)&gt;1,"DUP","")</f>
      </c>
      <c r="O111" s="3">
        <f>IF(LEFT(B111,LEN(C111))=C111,"OK","CHECK")</f>
      </c>
      <c r="P111" s="4" t="inlineStr">
        <is>
          <t xml:space="preserve">Review</t>
        </is>
      </c>
      <c r="Q111" s="4" t="inlineStr">
        <is>
          <t xml:space="preserve"/>
        </is>
      </c>
      <c r="R111" s="5">
        <f>IF(OR(M111="DUP",N111="DUP",O111="CHECK"),"CHECK","")</f>
      </c>
    </row>
    <row r="112">
      <c r="A112" s="2">
        <v>79</v>
      </c>
      <c r="B112" s="2" t="inlineStr">
        <is>
          <t xml:space="preserve">toxic.intense.mod.1</t>
        </is>
      </c>
      <c r="C112" s="2" t="inlineStr">
        <is>
          <t xml:space="preserve">toxic.intense</t>
        </is>
      </c>
      <c r="D112" s="2" t="inlineStr">
        <is>
          <t xml:space="preserve">toxic.intense.mod</t>
        </is>
      </c>
      <c r="E112" s="2" t="inlineStr">
        <is>
          <t xml:space="preserve">toxic_mode</t>
        </is>
      </c>
      <c r="F112" s="2" t="inlineStr">
        <is>
          <t xml:space="preserve">extended</t>
        </is>
      </c>
      <c r="G112" s="2" t="inlineStr">
        <is>
          <t xml:space="preserve">Barely acceptable. Give me MORE!</t>
        </is>
      </c>
      <c r="H112" s="2" t="inlineStr">
        <is>
          <t xml:space="preserve">Så vidt godkjent. Gi meg MER!</t>
        </is>
      </c>
      <c r="I112" s="3">
        <f>IF(LEN(TRIM(G112))=0,0,LEN(TRIM(G112))-LEN(SUBSTITUTE(TRIM(G112)," ",""))+1)</f>
      </c>
      <c r="J112" s="3">
        <f>IF(LEN(TRIM(H112))=0,0,LEN(TRIM(H112))-LEN(SUBSTITUTE(TRIM(H112)," ",""))+1)</f>
      </c>
      <c r="K112" s="3">
        <f>LEN(G112)</f>
      </c>
      <c r="L112" s="3">
        <f>LEN(H112)</f>
      </c>
      <c r="M112" s="3">
        <f>IF(COUNTIF($G:$G,G112)&gt;1,"DUP","")</f>
      </c>
      <c r="N112" s="3">
        <f>IF(COUNTIF($H:$H,H112)&gt;1,"DUP","")</f>
      </c>
      <c r="O112" s="3">
        <f>IF(LEFT(B112,LEN(C112))=C112,"OK","CHECK")</f>
      </c>
      <c r="P112" s="4" t="inlineStr">
        <is>
          <t xml:space="preserve">Review</t>
        </is>
      </c>
      <c r="Q112" s="4" t="inlineStr">
        <is>
          <t xml:space="preserve"/>
        </is>
      </c>
      <c r="R112" s="5">
        <f>IF(OR(M112="DUP",N112="DUP",O112="CHECK"),"CHECK","")</f>
      </c>
    </row>
    <row r="113">
      <c r="A113" s="2">
        <v>80</v>
      </c>
      <c r="B113" s="2" t="inlineStr">
        <is>
          <t xml:space="preserve">toxic.intense.mod.2</t>
        </is>
      </c>
      <c r="C113" s="2" t="inlineStr">
        <is>
          <t xml:space="preserve">toxic.intense</t>
        </is>
      </c>
      <c r="D113" s="2" t="inlineStr">
        <is>
          <t xml:space="preserve">toxic.intense.mod</t>
        </is>
      </c>
      <c r="E113" s="2" t="inlineStr">
        <is>
          <t xml:space="preserve">toxic_mode</t>
        </is>
      </c>
      <c r="F113" s="2" t="inlineStr">
        <is>
          <t xml:space="preserve">extended</t>
        </is>
      </c>
      <c r="G113" s="2" t="inlineStr">
        <is>
          <t xml:space="preserve">You can do better than THAT!</t>
        </is>
      </c>
      <c r="H113" s="2" t="inlineStr">
        <is>
          <t xml:space="preserve">Du kan bedre enn DET!</t>
        </is>
      </c>
      <c r="I113" s="3">
        <f>IF(LEN(TRIM(G113))=0,0,LEN(TRIM(G113))-LEN(SUBSTITUTE(TRIM(G113)," ",""))+1)</f>
      </c>
      <c r="J113" s="3">
        <f>IF(LEN(TRIM(H113))=0,0,LEN(TRIM(H113))-LEN(SUBSTITUTE(TRIM(H113)," ",""))+1)</f>
      </c>
      <c r="K113" s="3">
        <f>LEN(G113)</f>
      </c>
      <c r="L113" s="3">
        <f>LEN(H113)</f>
      </c>
      <c r="M113" s="3">
        <f>IF(COUNTIF($G:$G,G113)&gt;1,"DUP","")</f>
      </c>
      <c r="N113" s="3">
        <f>IF(COUNTIF($H:$H,H113)&gt;1,"DUP","")</f>
      </c>
      <c r="O113" s="3">
        <f>IF(LEFT(B113,LEN(C113))=C113,"OK","CHECK")</f>
      </c>
      <c r="P113" s="4" t="inlineStr">
        <is>
          <t xml:space="preserve">Review</t>
        </is>
      </c>
      <c r="Q113" s="4" t="inlineStr">
        <is>
          <t xml:space="preserve"/>
        </is>
      </c>
      <c r="R113" s="5">
        <f>IF(OR(M113="DUP",N113="DUP",O113="CHECK"),"CHECK","")</f>
      </c>
    </row>
    <row r="114">
      <c r="A114" s="2">
        <v>81</v>
      </c>
      <c r="B114" s="2" t="inlineStr">
        <is>
          <t xml:space="preserve">toxic.intense.mod.3</t>
        </is>
      </c>
      <c r="C114" s="2" t="inlineStr">
        <is>
          <t xml:space="preserve">toxic.intense</t>
        </is>
      </c>
      <c r="D114" s="2" t="inlineStr">
        <is>
          <t xml:space="preserve">toxic.intense.mod</t>
        </is>
      </c>
      <c r="E114" s="2" t="inlineStr">
        <is>
          <t xml:space="preserve">toxic_mode</t>
        </is>
      </c>
      <c r="F114" s="2" t="inlineStr">
        <is>
          <t xml:space="preserve">extended</t>
        </is>
      </c>
      <c r="G114" s="2" t="inlineStr">
        <is>
          <t xml:space="preserve">I'm NOT impressed yet. HARDER!</t>
        </is>
      </c>
      <c r="H114" s="2" t="inlineStr">
        <is>
          <t xml:space="preserve">Jeg er IKKE imponert ennå. HARDERE!</t>
        </is>
      </c>
      <c r="I114" s="3">
        <f>IF(LEN(TRIM(G114))=0,0,LEN(TRIM(G114))-LEN(SUBSTITUTE(TRIM(G114)," ",""))+1)</f>
      </c>
      <c r="J114" s="3">
        <f>IF(LEN(TRIM(H114))=0,0,LEN(TRIM(H114))-LEN(SUBSTITUTE(TRIM(H114)," ",""))+1)</f>
      </c>
      <c r="K114" s="3">
        <f>LEN(G114)</f>
      </c>
      <c r="L114" s="3">
        <f>LEN(H114)</f>
      </c>
      <c r="M114" s="3">
        <f>IF(COUNTIF($G:$G,G114)&gt;1,"DUP","")</f>
      </c>
      <c r="N114" s="3">
        <f>IF(COUNTIF($H:$H,H114)&gt;1,"DUP","")</f>
      </c>
      <c r="O114" s="3">
        <f>IF(LEFT(B114,LEN(C114))=C114,"OK","CHECK")</f>
      </c>
      <c r="P114" s="4" t="inlineStr">
        <is>
          <t xml:space="preserve">Review</t>
        </is>
      </c>
      <c r="Q114" s="4" t="inlineStr">
        <is>
          <t xml:space="preserve"/>
        </is>
      </c>
      <c r="R114" s="5">
        <f>IF(OR(M114="DUP",N114="DUP",O114="CHECK"),"CHECK","")</f>
      </c>
    </row>
    <row r="115">
      <c r="A115" s="2">
        <v>82</v>
      </c>
      <c r="B115" s="2" t="inlineStr">
        <is>
          <t xml:space="preserve">toxic.intense.mod.4</t>
        </is>
      </c>
      <c r="C115" s="2" t="inlineStr">
        <is>
          <t xml:space="preserve">toxic.intense</t>
        </is>
      </c>
      <c r="D115" s="2" t="inlineStr">
        <is>
          <t xml:space="preserve">toxic.intense.mod</t>
        </is>
      </c>
      <c r="E115" s="2" t="inlineStr">
        <is>
          <t xml:space="preserve">toxic_mode</t>
        </is>
      </c>
      <c r="F115" s="2" t="inlineStr">
        <is>
          <t xml:space="preserve">extended</t>
        </is>
      </c>
      <c r="G115" s="2" t="inlineStr">
        <is>
          <t xml:space="preserve">Keep going or I'll double it!</t>
        </is>
      </c>
      <c r="H115" s="2" t="inlineStr">
        <is>
          <t xml:space="preserve">Fortsett ellers dobler jeg det!</t>
        </is>
      </c>
      <c r="I115" s="3">
        <f>IF(LEN(TRIM(G115))=0,0,LEN(TRIM(G115))-LEN(SUBSTITUTE(TRIM(G115)," ",""))+1)</f>
      </c>
      <c r="J115" s="3">
        <f>IF(LEN(TRIM(H115))=0,0,LEN(TRIM(H115))-LEN(SUBSTITUTE(TRIM(H115)," ",""))+1)</f>
      </c>
      <c r="K115" s="3">
        <f>LEN(G115)</f>
      </c>
      <c r="L115" s="3">
        <f>LEN(H115)</f>
      </c>
      <c r="M115" s="3">
        <f>IF(COUNTIF($G:$G,G115)&gt;1,"DUP","")</f>
      </c>
      <c r="N115" s="3">
        <f>IF(COUNTIF($H:$H,H115)&gt;1,"DUP","")</f>
      </c>
      <c r="O115" s="3">
        <f>IF(LEFT(B115,LEN(C115))=C115,"OK","CHECK")</f>
      </c>
      <c r="P115" s="4" t="inlineStr">
        <is>
          <t xml:space="preserve">Review</t>
        </is>
      </c>
      <c r="Q115" s="4" t="inlineStr">
        <is>
          <t xml:space="preserve"/>
        </is>
      </c>
      <c r="R115" s="5">
        <f>IF(OR(M115="DUP",N115="DUP",O115="CHECK"),"CHECK","")</f>
      </c>
    </row>
    <row r="116">
      <c r="A116" s="2">
        <v>83</v>
      </c>
      <c r="B116" s="2" t="inlineStr">
        <is>
          <t xml:space="preserve">toxic.intense.mod.5</t>
        </is>
      </c>
      <c r="C116" s="2" t="inlineStr">
        <is>
          <t xml:space="preserve">toxic.intense</t>
        </is>
      </c>
      <c r="D116" s="2" t="inlineStr">
        <is>
          <t xml:space="preserve">toxic.intense.mod</t>
        </is>
      </c>
      <c r="E116" s="2" t="inlineStr">
        <is>
          <t xml:space="preserve">toxic_mode</t>
        </is>
      </c>
      <c r="F116" s="2" t="inlineStr">
        <is>
          <t xml:space="preserve">extended</t>
        </is>
      </c>
      <c r="G116" s="2" t="inlineStr">
        <is>
          <t xml:space="preserve">That's it?! Push HARDER!</t>
        </is>
      </c>
      <c r="H116" s="2" t="inlineStr">
        <is>
          <t xml:space="preserve">Er det alt?! TRYKK HARDERE!</t>
        </is>
      </c>
      <c r="I116" s="3">
        <f>IF(LEN(TRIM(G116))=0,0,LEN(TRIM(G116))-LEN(SUBSTITUTE(TRIM(G116)," ",""))+1)</f>
      </c>
      <c r="J116" s="3">
        <f>IF(LEN(TRIM(H116))=0,0,LEN(TRIM(H116))-LEN(SUBSTITUTE(TRIM(H116)," ",""))+1)</f>
      </c>
      <c r="K116" s="3">
        <f>LEN(G116)</f>
      </c>
      <c r="L116" s="3">
        <f>LEN(H116)</f>
      </c>
      <c r="M116" s="3">
        <f>IF(COUNTIF($G:$G,G116)&gt;1,"DUP","")</f>
      </c>
      <c r="N116" s="3">
        <f>IF(COUNTIF($H:$H,H116)&gt;1,"DUP","")</f>
      </c>
      <c r="O116" s="3">
        <f>IF(LEFT(B116,LEN(C116))=C116,"OK","CHECK")</f>
      </c>
      <c r="P116" s="4" t="inlineStr">
        <is>
          <t xml:space="preserve">Review</t>
        </is>
      </c>
      <c r="Q116" s="4" t="inlineStr">
        <is>
          <t xml:space="preserve"/>
        </is>
      </c>
      <c r="R116" s="5">
        <f>IF(OR(M116="DUP",N116="DUP",O116="CHECK"),"CHECK","")</f>
      </c>
    </row>
    <row r="117">
      <c r="A117" s="2">
        <v>69</v>
      </c>
      <c r="B117" s="2" t="inlineStr">
        <is>
          <t xml:space="preserve">toxic.warmup.1</t>
        </is>
      </c>
      <c r="C117" s="2" t="inlineStr">
        <is>
          <t xml:space="preserve">toxic.warmup</t>
        </is>
      </c>
      <c r="D117" s="2" t="inlineStr">
        <is>
          <t xml:space="preserve">toxic.warmup.1</t>
        </is>
      </c>
      <c r="E117" s="2" t="inlineStr">
        <is>
          <t xml:space="preserve">toxic_mode</t>
        </is>
      </c>
      <c r="F117" s="2" t="inlineStr">
        <is>
          <t xml:space="preserve">extended</t>
        </is>
      </c>
      <c r="G117" s="2" t="inlineStr">
        <is>
          <t xml:space="preserve">Warming up?! We're WASTING TIME!</t>
        </is>
      </c>
      <c r="H117" s="2" t="inlineStr">
        <is>
          <t xml:space="preserve">Oppvarming?! Vi KASTER BORT TID!</t>
        </is>
      </c>
      <c r="I117" s="3">
        <f>IF(LEN(TRIM(G117))=0,0,LEN(TRIM(G117))-LEN(SUBSTITUTE(TRIM(G117)," ",""))+1)</f>
      </c>
      <c r="J117" s="3">
        <f>IF(LEN(TRIM(H117))=0,0,LEN(TRIM(H117))-LEN(SUBSTITUTE(TRIM(H117)," ",""))+1)</f>
      </c>
      <c r="K117" s="3">
        <f>LEN(G117)</f>
      </c>
      <c r="L117" s="3">
        <f>LEN(H117)</f>
      </c>
      <c r="M117" s="3">
        <f>IF(COUNTIF($G:$G,G117)&gt;1,"DUP","")</f>
      </c>
      <c r="N117" s="3">
        <f>IF(COUNTIF($H:$H,H117)&gt;1,"DUP","")</f>
      </c>
      <c r="O117" s="3">
        <f>IF(LEFT(B117,LEN(C117))=C117,"OK","CHECK")</f>
      </c>
      <c r="P117" s="4" t="inlineStr">
        <is>
          <t xml:space="preserve">Review</t>
        </is>
      </c>
      <c r="Q117" s="4" t="inlineStr">
        <is>
          <t xml:space="preserve"/>
        </is>
      </c>
      <c r="R117" s="5">
        <f>IF(OR(M117="DUP",N117="DUP",O117="CHECK"),"CHECK","")</f>
      </c>
    </row>
    <row r="118">
      <c r="A118" s="2">
        <v>70</v>
      </c>
      <c r="B118" s="2" t="inlineStr">
        <is>
          <t xml:space="preserve">toxic.warmup.2</t>
        </is>
      </c>
      <c r="C118" s="2" t="inlineStr">
        <is>
          <t xml:space="preserve">toxic.warmup</t>
        </is>
      </c>
      <c r="D118" s="2" t="inlineStr">
        <is>
          <t xml:space="preserve">toxic.warmup.2</t>
        </is>
      </c>
      <c r="E118" s="2" t="inlineStr">
        <is>
          <t xml:space="preserve">toxic_mode</t>
        </is>
      </c>
      <c r="F118" s="2" t="inlineStr">
        <is>
          <t xml:space="preserve">extended</t>
        </is>
      </c>
      <c r="G118" s="2" t="inlineStr">
        <is>
          <t xml:space="preserve">Move FASTER or go home!</t>
        </is>
      </c>
      <c r="H118" s="2" t="inlineStr">
        <is>
          <t xml:space="preserve">Beveg deg RASKERE eller gå hjem!</t>
        </is>
      </c>
      <c r="I118" s="3">
        <f>IF(LEN(TRIM(G118))=0,0,LEN(TRIM(G118))-LEN(SUBSTITUTE(TRIM(G118)," ",""))+1)</f>
      </c>
      <c r="J118" s="3">
        <f>IF(LEN(TRIM(H118))=0,0,LEN(TRIM(H118))-LEN(SUBSTITUTE(TRIM(H118)," ",""))+1)</f>
      </c>
      <c r="K118" s="3">
        <f>LEN(G118)</f>
      </c>
      <c r="L118" s="3">
        <f>LEN(H118)</f>
      </c>
      <c r="M118" s="3">
        <f>IF(COUNTIF($G:$G,G118)&gt;1,"DUP","")</f>
      </c>
      <c r="N118" s="3">
        <f>IF(COUNTIF($H:$H,H118)&gt;1,"DUP","")</f>
      </c>
      <c r="O118" s="3">
        <f>IF(LEFT(B118,LEN(C118))=C118,"OK","CHECK")</f>
      </c>
      <c r="P118" s="4" t="inlineStr">
        <is>
          <t xml:space="preserve">Review</t>
        </is>
      </c>
      <c r="Q118" s="4" t="inlineStr">
        <is>
          <t xml:space="preserve"/>
        </is>
      </c>
      <c r="R118" s="5">
        <f>IF(OR(M118="DUP",N118="DUP",O118="CHECK"),"CHECK","")</f>
      </c>
    </row>
    <row r="119">
      <c r="A119" s="2">
        <v>71</v>
      </c>
      <c r="B119" s="2" t="inlineStr">
        <is>
          <t xml:space="preserve">toxic.warmup.3</t>
        </is>
      </c>
      <c r="C119" s="2" t="inlineStr">
        <is>
          <t xml:space="preserve">toxic.warmup</t>
        </is>
      </c>
      <c r="D119" s="2" t="inlineStr">
        <is>
          <t xml:space="preserve">toxic.warmup.3</t>
        </is>
      </c>
      <c r="E119" s="2" t="inlineStr">
        <is>
          <t xml:space="preserve">toxic_mode</t>
        </is>
      </c>
      <c r="F119" s="2" t="inlineStr">
        <is>
          <t xml:space="preserve">extended</t>
        </is>
      </c>
      <c r="G119" s="2" t="inlineStr">
        <is>
          <t xml:space="preserve">My GRANDMOTHER warms up faster!</t>
        </is>
      </c>
      <c r="H119" s="2" t="inlineStr">
        <is>
          <t xml:space="preserve">BESTEMORA mi varmer opp raskere!</t>
        </is>
      </c>
      <c r="I119" s="3">
        <f>IF(LEN(TRIM(G119))=0,0,LEN(TRIM(G119))-LEN(SUBSTITUTE(TRIM(G119)," ",""))+1)</f>
      </c>
      <c r="J119" s="3">
        <f>IF(LEN(TRIM(H119))=0,0,LEN(TRIM(H119))-LEN(SUBSTITUTE(TRIM(H119)," ",""))+1)</f>
      </c>
      <c r="K119" s="3">
        <f>LEN(G119)</f>
      </c>
      <c r="L119" s="3">
        <f>LEN(H119)</f>
      </c>
      <c r="M119" s="3">
        <f>IF(COUNTIF($G:$G,G119)&gt;1,"DUP","")</f>
      </c>
      <c r="N119" s="3">
        <f>IF(COUNTIF($H:$H,H119)&gt;1,"DUP","")</f>
      </c>
      <c r="O119" s="3">
        <f>IF(LEFT(B119,LEN(C119))=C119,"OK","CHECK")</f>
      </c>
      <c r="P119" s="4" t="inlineStr">
        <is>
          <t xml:space="preserve">Review</t>
        </is>
      </c>
      <c r="Q119" s="4" t="inlineStr">
        <is>
          <t xml:space="preserve"/>
        </is>
      </c>
      <c r="R119" s="5">
        <f>IF(OR(M119="DUP",N119="DUP",O119="CHECK"),"CHECK","")</f>
      </c>
    </row>
    <row r="120">
      <c r="A120" s="2">
        <v>72</v>
      </c>
      <c r="B120" s="2" t="inlineStr">
        <is>
          <t xml:space="preserve">toxic.warmup.4</t>
        </is>
      </c>
      <c r="C120" s="2" t="inlineStr">
        <is>
          <t xml:space="preserve">toxic.warmup</t>
        </is>
      </c>
      <c r="D120" s="2" t="inlineStr">
        <is>
          <t xml:space="preserve">toxic.warmup.4</t>
        </is>
      </c>
      <c r="E120" s="2" t="inlineStr">
        <is>
          <t xml:space="preserve">toxic_mode</t>
        </is>
      </c>
      <c r="F120" s="2" t="inlineStr">
        <is>
          <t xml:space="preserve">extended</t>
        </is>
      </c>
      <c r="G120" s="2" t="inlineStr">
        <is>
          <t xml:space="preserve">This is PATHETIC! Let's GO!</t>
        </is>
      </c>
      <c r="H120" s="2" t="inlineStr">
        <is>
          <t xml:space="preserve">Dette er PATETISK! La oss KJØRE!</t>
        </is>
      </c>
      <c r="I120" s="3">
        <f>IF(LEN(TRIM(G120))=0,0,LEN(TRIM(G120))-LEN(SUBSTITUTE(TRIM(G120)," ",""))+1)</f>
      </c>
      <c r="J120" s="3">
        <f>IF(LEN(TRIM(H120))=0,0,LEN(TRIM(H120))-LEN(SUBSTITUTE(TRIM(H120)," ",""))+1)</f>
      </c>
      <c r="K120" s="3">
        <f>LEN(G120)</f>
      </c>
      <c r="L120" s="3">
        <f>LEN(H120)</f>
      </c>
      <c r="M120" s="3">
        <f>IF(COUNTIF($G:$G,G120)&gt;1,"DUP","")</f>
      </c>
      <c r="N120" s="3">
        <f>IF(COUNTIF($H:$H,H120)&gt;1,"DUP","")</f>
      </c>
      <c r="O120" s="3">
        <f>IF(LEFT(B120,LEN(C120))=C120,"OK","CHECK")</f>
      </c>
      <c r="P120" s="4" t="inlineStr">
        <is>
          <t xml:space="preserve">Review</t>
        </is>
      </c>
      <c r="Q120" s="4" t="inlineStr">
        <is>
          <t xml:space="preserve"/>
        </is>
      </c>
      <c r="R120" s="5">
        <f>IF(OR(M120="DUP",N120="DUP",O120="CHECK"),"CHECK","")</f>
      </c>
    </row>
    <row r="121">
      <c r="A121" s="2">
        <v>73</v>
      </c>
      <c r="B121" s="2" t="inlineStr">
        <is>
          <t xml:space="preserve">toxic.warmup.5</t>
        </is>
      </c>
      <c r="C121" s="2" t="inlineStr">
        <is>
          <t xml:space="preserve">toxic.warmup</t>
        </is>
      </c>
      <c r="D121" s="2" t="inlineStr">
        <is>
          <t xml:space="preserve">toxic.warmup.5</t>
        </is>
      </c>
      <c r="E121" s="2" t="inlineStr">
        <is>
          <t xml:space="preserve">toxic_mode</t>
        </is>
      </c>
      <c r="F121" s="2" t="inlineStr">
        <is>
          <t xml:space="preserve">extended</t>
        </is>
      </c>
      <c r="G121" s="2" t="inlineStr">
        <is>
          <t xml:space="preserve">You call this a warmup? I call it a NAP!</t>
        </is>
      </c>
      <c r="H121" s="2" t="inlineStr">
        <is>
          <t xml:space="preserve">Kaller du dette oppvarming? Jeg kaller det en LITEN BLUND!</t>
        </is>
      </c>
      <c r="I121" s="3">
        <f>IF(LEN(TRIM(G121))=0,0,LEN(TRIM(G121))-LEN(SUBSTITUTE(TRIM(G121)," ",""))+1)</f>
      </c>
      <c r="J121" s="3">
        <f>IF(LEN(TRIM(H121))=0,0,LEN(TRIM(H121))-LEN(SUBSTITUTE(TRIM(H121)," ",""))+1)</f>
      </c>
      <c r="K121" s="3">
        <f>LEN(G121)</f>
      </c>
      <c r="L121" s="3">
        <f>LEN(H121)</f>
      </c>
      <c r="M121" s="3">
        <f>IF(COUNTIF($G:$G,G121)&gt;1,"DUP","")</f>
      </c>
      <c r="N121" s="3">
        <f>IF(COUNTIF($H:$H,H121)&gt;1,"DUP","")</f>
      </c>
      <c r="O121" s="3">
        <f>IF(LEFT(B121,LEN(C121))=C121,"OK","CHECK")</f>
      </c>
      <c r="P121" s="4" t="inlineStr">
        <is>
          <t xml:space="preserve">Review</t>
        </is>
      </c>
      <c r="Q121" s="4" t="inlineStr">
        <is>
          <t xml:space="preserve"/>
        </is>
      </c>
      <c r="R121" s="5">
        <f>IF(OR(M121="DUP",N121="DUP",O121="CHECK"),"CHECK","")</f>
      </c>
    </row>
    <row r="122">
      <c r="A122" s="2">
        <v>8</v>
      </c>
      <c r="B122" s="2" t="inlineStr">
        <is>
          <t xml:space="preserve">welcome.beginner.1</t>
        </is>
      </c>
      <c r="C122" s="2" t="inlineStr">
        <is>
          <t xml:space="preserve">welcome.beginner</t>
        </is>
      </c>
      <c r="D122" s="2" t="inlineStr">
        <is>
          <t xml:space="preserve">welcome.beginner.1</t>
        </is>
      </c>
      <c r="E122" s="2" t="inlineStr">
        <is>
          <t xml:space="preserve">personal_trainer</t>
        </is>
      </c>
      <c r="F122" s="2" t="inlineStr">
        <is>
          <t xml:space="preserve">core</t>
        </is>
      </c>
      <c r="G122" s="2" t="inlineStr">
        <is>
          <t xml:space="preserve">Great that you're here. We'll start slow and keep it simple.</t>
        </is>
      </c>
      <c r="H122" s="2" t="inlineStr">
        <is>
          <t xml:space="preserve">Fint at du er her. Vi starter sakte og holder det enkelt.</t>
        </is>
      </c>
      <c r="I122" s="3">
        <f>IF(LEN(TRIM(G122))=0,0,LEN(TRIM(G122))-LEN(SUBSTITUTE(TRIM(G122)," ",""))+1)</f>
      </c>
      <c r="J122" s="3">
        <f>IF(LEN(TRIM(H122))=0,0,LEN(TRIM(H122))-LEN(SUBSTITUTE(TRIM(H122)," ",""))+1)</f>
      </c>
      <c r="K122" s="3">
        <f>LEN(G122)</f>
      </c>
      <c r="L122" s="3">
        <f>LEN(H122)</f>
      </c>
      <c r="M122" s="3">
        <f>IF(COUNTIF($G:$G,G122)&gt;1,"DUP","")</f>
      </c>
      <c r="N122" s="3">
        <f>IF(COUNTIF($H:$H,H122)&gt;1,"DUP","")</f>
      </c>
      <c r="O122" s="3">
        <f>IF(LEFT(B122,LEN(C122))=C122,"OK","CHECK")</f>
      </c>
      <c r="P122" s="4" t="inlineStr">
        <is>
          <t xml:space="preserve">Review</t>
        </is>
      </c>
      <c r="Q122" s="4" t="inlineStr">
        <is>
          <t xml:space="preserve"/>
        </is>
      </c>
      <c r="R122" s="5">
        <f>IF(OR(M122="DUP",N122="DUP",O122="CHECK"),"CHECK","")</f>
      </c>
    </row>
    <row r="123">
      <c r="A123" s="2">
        <v>9</v>
      </c>
      <c r="B123" s="2" t="inlineStr">
        <is>
          <t xml:space="preserve">welcome.beginner.2</t>
        </is>
      </c>
      <c r="C123" s="2" t="inlineStr">
        <is>
          <t xml:space="preserve">welcome.beginner</t>
        </is>
      </c>
      <c r="D123" s="2" t="inlineStr">
        <is>
          <t xml:space="preserve">welcome.beginner.2</t>
        </is>
      </c>
      <c r="E123" s="2" t="inlineStr">
        <is>
          <t xml:space="preserve">personal_trainer</t>
        </is>
      </c>
      <c r="F123" s="2" t="inlineStr">
        <is>
          <t xml:space="preserve">core</t>
        </is>
      </c>
      <c r="G123" s="2" t="inlineStr">
        <is>
          <t xml:space="preserve">Welcome. Just focus on breathing and moving at your own pace.</t>
        </is>
      </c>
      <c r="H123" s="2" t="inlineStr">
        <is>
          <t xml:space="preserve">Velkommen. Bare fokuser på pusten og beveg deg i ditt tempo.</t>
        </is>
      </c>
      <c r="I123" s="3">
        <f>IF(LEN(TRIM(G123))=0,0,LEN(TRIM(G123))-LEN(SUBSTITUTE(TRIM(G123)," ",""))+1)</f>
      </c>
      <c r="J123" s="3">
        <f>IF(LEN(TRIM(H123))=0,0,LEN(TRIM(H123))-LEN(SUBSTITUTE(TRIM(H123)," ",""))+1)</f>
      </c>
      <c r="K123" s="3">
        <f>LEN(G123)</f>
      </c>
      <c r="L123" s="3">
        <f>LEN(H123)</f>
      </c>
      <c r="M123" s="3">
        <f>IF(COUNTIF($G:$G,G123)&gt;1,"DUP","")</f>
      </c>
      <c r="N123" s="3">
        <f>IF(COUNTIF($H:$H,H123)&gt;1,"DUP","")</f>
      </c>
      <c r="O123" s="3">
        <f>IF(LEFT(B123,LEN(C123))=C123,"OK","CHECK")</f>
      </c>
      <c r="P123" s="4" t="inlineStr">
        <is>
          <t xml:space="preserve">Review</t>
        </is>
      </c>
      <c r="Q123" s="4" t="inlineStr">
        <is>
          <t xml:space="preserve"/>
        </is>
      </c>
      <c r="R123" s="5">
        <f>IF(OR(M123="DUP",N123="DUP",O123="CHECK"),"CHECK","")</f>
      </c>
    </row>
    <row r="124">
      <c r="A124" s="2">
        <v>10</v>
      </c>
      <c r="B124" s="2" t="inlineStr">
        <is>
          <t xml:space="preserve">welcome.beginner.3</t>
        </is>
      </c>
      <c r="C124" s="2" t="inlineStr">
        <is>
          <t xml:space="preserve">welcome.beginner</t>
        </is>
      </c>
      <c r="D124" s="2" t="inlineStr">
        <is>
          <t xml:space="preserve">welcome.beginner.3</t>
        </is>
      </c>
      <c r="E124" s="2" t="inlineStr">
        <is>
          <t xml:space="preserve">personal_trainer</t>
        </is>
      </c>
      <c r="F124" s="2" t="inlineStr">
        <is>
          <t xml:space="preserve">core</t>
        </is>
      </c>
      <c r="G124" s="2" t="inlineStr">
        <is>
          <t xml:space="preserve">Let's begin easy. No pressure, just getting your body warmed up.</t>
        </is>
      </c>
      <c r="H124" s="2" t="inlineStr">
        <is>
          <t xml:space="preserve">La oss starte rolig. Ingen press, bare få kroppen varm.</t>
        </is>
      </c>
      <c r="I124" s="3">
        <f>IF(LEN(TRIM(G124))=0,0,LEN(TRIM(G124))-LEN(SUBSTITUTE(TRIM(G124)," ",""))+1)</f>
      </c>
      <c r="J124" s="3">
        <f>IF(LEN(TRIM(H124))=0,0,LEN(TRIM(H124))-LEN(SUBSTITUTE(TRIM(H124)," ",""))+1)</f>
      </c>
      <c r="K124" s="3">
        <f>LEN(G124)</f>
      </c>
      <c r="L124" s="3">
        <f>LEN(H124)</f>
      </c>
      <c r="M124" s="3">
        <f>IF(COUNTIF($G:$G,G124)&gt;1,"DUP","")</f>
      </c>
      <c r="N124" s="3">
        <f>IF(COUNTIF($H:$H,H124)&gt;1,"DUP","")</f>
      </c>
      <c r="O124" s="3">
        <f>IF(LEFT(B124,LEN(C124))=C124,"OK","CHECK")</f>
      </c>
      <c r="P124" s="4" t="inlineStr">
        <is>
          <t xml:space="preserve">Review</t>
        </is>
      </c>
      <c r="Q124" s="4" t="inlineStr">
        <is>
          <t xml:space="preserve"/>
        </is>
      </c>
      <c r="R124" s="5">
        <f>IF(OR(M124="DUP",N124="DUP",O124="CHECK"),"CHECK","")</f>
      </c>
    </row>
    <row r="125">
      <c r="A125" s="2">
        <v>11</v>
      </c>
      <c r="B125" s="2" t="inlineStr">
        <is>
          <t xml:space="preserve">welcome.beginner.4</t>
        </is>
      </c>
      <c r="C125" s="2" t="inlineStr">
        <is>
          <t xml:space="preserve">welcome.beginner</t>
        </is>
      </c>
      <c r="D125" s="2" t="inlineStr">
        <is>
          <t xml:space="preserve">welcome.beginner.4</t>
        </is>
      </c>
      <c r="E125" s="2" t="inlineStr">
        <is>
          <t xml:space="preserve">personal_trainer</t>
        </is>
      </c>
      <c r="F125" s="2" t="inlineStr">
        <is>
          <t xml:space="preserve">core</t>
        </is>
      </c>
      <c r="G125" s="2" t="inlineStr">
        <is>
          <t xml:space="preserve">Nice to have you. Take it one step at a time, I'll guide you through.</t>
        </is>
      </c>
      <c r="H125" s="2" t="inlineStr">
        <is>
          <t xml:space="preserve">Godt å ha deg her. Ett steg om gangen, jeg guider deg.</t>
        </is>
      </c>
      <c r="I125" s="3">
        <f>IF(LEN(TRIM(G125))=0,0,LEN(TRIM(G125))-LEN(SUBSTITUTE(TRIM(G125)," ",""))+1)</f>
      </c>
      <c r="J125" s="3">
        <f>IF(LEN(TRIM(H125))=0,0,LEN(TRIM(H125))-LEN(SUBSTITUTE(TRIM(H125)," ",""))+1)</f>
      </c>
      <c r="K125" s="3">
        <f>LEN(G125)</f>
      </c>
      <c r="L125" s="3">
        <f>LEN(H125)</f>
      </c>
      <c r="M125" s="3">
        <f>IF(COUNTIF($G:$G,G125)&gt;1,"DUP","")</f>
      </c>
      <c r="N125" s="3">
        <f>IF(COUNTIF($H:$H,H125)&gt;1,"DUP","")</f>
      </c>
      <c r="O125" s="3">
        <f>IF(LEFT(B125,LEN(C125))=C125,"OK","CHECK")</f>
      </c>
      <c r="P125" s="4" t="inlineStr">
        <is>
          <t xml:space="preserve">Review</t>
        </is>
      </c>
      <c r="Q125" s="4" t="inlineStr">
        <is>
          <t xml:space="preserve"/>
        </is>
      </c>
      <c r="R125" s="5">
        <f>IF(OR(M125="DUP",N125="DUP",O125="CHECK"),"CHECK","")</f>
      </c>
    </row>
    <row r="126">
      <c r="A126" s="2">
        <v>12</v>
      </c>
      <c r="B126" s="2" t="inlineStr">
        <is>
          <t xml:space="preserve">welcome.beginner.5</t>
        </is>
      </c>
      <c r="C126" s="2" t="inlineStr">
        <is>
          <t xml:space="preserve">welcome.beginner</t>
        </is>
      </c>
      <c r="D126" s="2" t="inlineStr">
        <is>
          <t xml:space="preserve">welcome.beginner.5</t>
        </is>
      </c>
      <c r="E126" s="2" t="inlineStr">
        <is>
          <t xml:space="preserve">personal_trainer</t>
        </is>
      </c>
      <c r="F126" s="2" t="inlineStr">
        <is>
          <t xml:space="preserve">core</t>
        </is>
      </c>
      <c r="G126" s="2" t="inlineStr">
        <is>
          <t xml:space="preserve">You're here, that's the hardest part. Now let's ease into it together.</t>
        </is>
      </c>
      <c r="H126" s="2" t="inlineStr">
        <is>
          <t xml:space="preserve">Du er her, det er det vanskeligste. Nå tar vi det rolig sammen.</t>
        </is>
      </c>
      <c r="I126" s="3">
        <f>IF(LEN(TRIM(G126))=0,0,LEN(TRIM(G126))-LEN(SUBSTITUTE(TRIM(G126)," ",""))+1)</f>
      </c>
      <c r="J126" s="3">
        <f>IF(LEN(TRIM(H126))=0,0,LEN(TRIM(H126))-LEN(SUBSTITUTE(TRIM(H126)," ",""))+1)</f>
      </c>
      <c r="K126" s="3">
        <f>LEN(G126)</f>
      </c>
      <c r="L126" s="3">
        <f>LEN(H126)</f>
      </c>
      <c r="M126" s="3">
        <f>IF(COUNTIF($G:$G,G126)&gt;1,"DUP","")</f>
      </c>
      <c r="N126" s="3">
        <f>IF(COUNTIF($H:$H,H126)&gt;1,"DUP","")</f>
      </c>
      <c r="O126" s="3">
        <f>IF(LEFT(B126,LEN(C126))=C126,"OK","CHECK")</f>
      </c>
      <c r="P126" s="4" t="inlineStr">
        <is>
          <t xml:space="preserve">Review</t>
        </is>
      </c>
      <c r="Q126" s="4" t="inlineStr">
        <is>
          <t xml:space="preserve"/>
        </is>
      </c>
      <c r="R126" s="5">
        <f>IF(OR(M126="DUP",N126="DUP",O126="CHECK"),"CHECK","")</f>
      </c>
    </row>
    <row r="127">
      <c r="A127" s="2">
        <v>13</v>
      </c>
      <c r="B127" s="2" t="inlineStr">
        <is>
          <t xml:space="preserve">welcome.breath.1</t>
        </is>
      </c>
      <c r="C127" s="2" t="inlineStr">
        <is>
          <t xml:space="preserve">welcome.breath</t>
        </is>
      </c>
      <c r="D127" s="2" t="inlineStr">
        <is>
          <t xml:space="preserve">welcome.breath.1</t>
        </is>
      </c>
      <c r="E127" s="2" t="inlineStr">
        <is>
          <t xml:space="preserve">personal_trainer</t>
        </is>
      </c>
      <c r="F127" s="2" t="inlineStr">
        <is>
          <t xml:space="preserve">core</t>
        </is>
      </c>
      <c r="G127" s="2" t="inlineStr">
        <is>
          <t xml:space="preserve">Take a moment. Deep breath in, slow breath out. Now let's begin.</t>
        </is>
      </c>
      <c r="H127" s="2" t="inlineStr">
        <is>
          <t xml:space="preserve">Ta et øyeblikk. Dyp innpust, rolig utpust. Nå begynner vi.</t>
        </is>
      </c>
      <c r="I127" s="3">
        <f>IF(LEN(TRIM(G127))=0,0,LEN(TRIM(G127))-LEN(SUBSTITUTE(TRIM(G127)," ",""))+1)</f>
      </c>
      <c r="J127" s="3">
        <f>IF(LEN(TRIM(H127))=0,0,LEN(TRIM(H127))-LEN(SUBSTITUTE(TRIM(H127)," ",""))+1)</f>
      </c>
      <c r="K127" s="3">
        <f>LEN(G127)</f>
      </c>
      <c r="L127" s="3">
        <f>LEN(H127)</f>
      </c>
      <c r="M127" s="3">
        <f>IF(COUNTIF($G:$G,G127)&gt;1,"DUP","")</f>
      </c>
      <c r="N127" s="3">
        <f>IF(COUNTIF($H:$H,H127)&gt;1,"DUP","")</f>
      </c>
      <c r="O127" s="3">
        <f>IF(LEFT(B127,LEN(C127))=C127,"OK","CHECK")</f>
      </c>
      <c r="P127" s="4" t="inlineStr">
        <is>
          <t xml:space="preserve">Review</t>
        </is>
      </c>
      <c r="Q127" s="4" t="inlineStr">
        <is>
          <t xml:space="preserve"/>
        </is>
      </c>
      <c r="R127" s="5">
        <f>IF(OR(M127="DUP",N127="DUP",O127="CHECK"),"CHECK","")</f>
      </c>
    </row>
    <row r="128">
      <c r="A128" s="2">
        <v>14</v>
      </c>
      <c r="B128" s="2" t="inlineStr">
        <is>
          <t xml:space="preserve">welcome.breath.2</t>
        </is>
      </c>
      <c r="C128" s="2" t="inlineStr">
        <is>
          <t xml:space="preserve">welcome.breath</t>
        </is>
      </c>
      <c r="D128" s="2" t="inlineStr">
        <is>
          <t xml:space="preserve">welcome.breath.2</t>
        </is>
      </c>
      <c r="E128" s="2" t="inlineStr">
        <is>
          <t xml:space="preserve">personal_trainer</t>
        </is>
      </c>
      <c r="F128" s="2" t="inlineStr">
        <is>
          <t xml:space="preserve">core</t>
        </is>
      </c>
      <c r="G128" s="2" t="inlineStr">
        <is>
          <t xml:space="preserve">Start by finding your breath. Shoulders down, chest open, easy pace.</t>
        </is>
      </c>
      <c r="H128" s="2" t="inlineStr">
        <is>
          <t xml:space="preserve">Start med å finne pusten. Skuldrene ned, brystet åpent, rolig tempo.</t>
        </is>
      </c>
      <c r="I128" s="3">
        <f>IF(LEN(TRIM(G128))=0,0,LEN(TRIM(G128))-LEN(SUBSTITUTE(TRIM(G128)," ",""))+1)</f>
      </c>
      <c r="J128" s="3">
        <f>IF(LEN(TRIM(H128))=0,0,LEN(TRIM(H128))-LEN(SUBSTITUTE(TRIM(H128)," ",""))+1)</f>
      </c>
      <c r="K128" s="3">
        <f>LEN(G128)</f>
      </c>
      <c r="L128" s="3">
        <f>LEN(H128)</f>
      </c>
      <c r="M128" s="3">
        <f>IF(COUNTIF($G:$G,G128)&gt;1,"DUP","")</f>
      </c>
      <c r="N128" s="3">
        <f>IF(COUNTIF($H:$H,H128)&gt;1,"DUP","")</f>
      </c>
      <c r="O128" s="3">
        <f>IF(LEFT(B128,LEN(C128))=C128,"OK","CHECK")</f>
      </c>
      <c r="P128" s="4" t="inlineStr">
        <is>
          <t xml:space="preserve">Review</t>
        </is>
      </c>
      <c r="Q128" s="4" t="inlineStr">
        <is>
          <t xml:space="preserve"/>
        </is>
      </c>
      <c r="R128" s="5">
        <f>IF(OR(M128="DUP",N128="DUP",O128="CHECK"),"CHECK","")</f>
      </c>
    </row>
    <row r="129">
      <c r="A129" s="2">
        <v>15</v>
      </c>
      <c r="B129" s="2" t="inlineStr">
        <is>
          <t xml:space="preserve">welcome.breath.3</t>
        </is>
      </c>
      <c r="C129" s="2" t="inlineStr">
        <is>
          <t xml:space="preserve">welcome.breath</t>
        </is>
      </c>
      <c r="D129" s="2" t="inlineStr">
        <is>
          <t xml:space="preserve">welcome.breath.3</t>
        </is>
      </c>
      <c r="E129" s="2" t="inlineStr">
        <is>
          <t xml:space="preserve">personal_trainer</t>
        </is>
      </c>
      <c r="F129" s="2" t="inlineStr">
        <is>
          <t xml:space="preserve">core</t>
        </is>
      </c>
      <c r="G129" s="2" t="inlineStr">
        <is>
          <t xml:space="preserve">Let's connect with your breathing first. Everything else follows from there.</t>
        </is>
      </c>
      <c r="H129" s="2" t="inlineStr">
        <is>
          <t xml:space="preserve">La oss koble på pusten først. Alt annet følger derfra.</t>
        </is>
      </c>
      <c r="I129" s="3">
        <f>IF(LEN(TRIM(G129))=0,0,LEN(TRIM(G129))-LEN(SUBSTITUTE(TRIM(G129)," ",""))+1)</f>
      </c>
      <c r="J129" s="3">
        <f>IF(LEN(TRIM(H129))=0,0,LEN(TRIM(H129))-LEN(SUBSTITUTE(TRIM(H129)," ",""))+1)</f>
      </c>
      <c r="K129" s="3">
        <f>LEN(G129)</f>
      </c>
      <c r="L129" s="3">
        <f>LEN(H129)</f>
      </c>
      <c r="M129" s="3">
        <f>IF(COUNTIF($G:$G,G129)&gt;1,"DUP","")</f>
      </c>
      <c r="N129" s="3">
        <f>IF(COUNTIF($H:$H,H129)&gt;1,"DUP","")</f>
      </c>
      <c r="O129" s="3">
        <f>IF(LEFT(B129,LEN(C129))=C129,"OK","CHECK")</f>
      </c>
      <c r="P129" s="4" t="inlineStr">
        <is>
          <t xml:space="preserve">Review</t>
        </is>
      </c>
      <c r="Q129" s="4" t="inlineStr">
        <is>
          <t xml:space="preserve"/>
        </is>
      </c>
      <c r="R129" s="5">
        <f>IF(OR(M129="DUP",N129="DUP",O129="CHECK"),"CHECK","")</f>
      </c>
    </row>
    <row r="130">
      <c r="A130" s="2">
        <v>16</v>
      </c>
      <c r="B130" s="2" t="inlineStr">
        <is>
          <t xml:space="preserve">welcome.breath.4</t>
        </is>
      </c>
      <c r="C130" s="2" t="inlineStr">
        <is>
          <t xml:space="preserve">welcome.breath</t>
        </is>
      </c>
      <c r="D130" s="2" t="inlineStr">
        <is>
          <t xml:space="preserve">welcome.breath.4</t>
        </is>
      </c>
      <c r="E130" s="2" t="inlineStr">
        <is>
          <t xml:space="preserve">personal_trainer</t>
        </is>
      </c>
      <c r="F130" s="2" t="inlineStr">
        <is>
          <t xml:space="preserve">core</t>
        </is>
      </c>
      <c r="G130" s="2" t="inlineStr">
        <is>
          <t xml:space="preserve">Settle your breath, relax your body. We'll build the intensity gradually.</t>
        </is>
      </c>
      <c r="H130" s="2" t="inlineStr">
        <is>
          <t xml:space="preserve">Finn roen i pusten, slapp av kroppen. Vi bygger intensiteten gradvis.</t>
        </is>
      </c>
      <c r="I130" s="3">
        <f>IF(LEN(TRIM(G130))=0,0,LEN(TRIM(G130))-LEN(SUBSTITUTE(TRIM(G130)," ",""))+1)</f>
      </c>
      <c r="J130" s="3">
        <f>IF(LEN(TRIM(H130))=0,0,LEN(TRIM(H130))-LEN(SUBSTITUTE(TRIM(H130)," ",""))+1)</f>
      </c>
      <c r="K130" s="3">
        <f>LEN(G130)</f>
      </c>
      <c r="L130" s="3">
        <f>LEN(H130)</f>
      </c>
      <c r="M130" s="3">
        <f>IF(COUNTIF($G:$G,G130)&gt;1,"DUP","")</f>
      </c>
      <c r="N130" s="3">
        <f>IF(COUNTIF($H:$H,H130)&gt;1,"DUP","")</f>
      </c>
      <c r="O130" s="3">
        <f>IF(LEFT(B130,LEN(C130))=C130,"OK","CHECK")</f>
      </c>
      <c r="P130" s="4" t="inlineStr">
        <is>
          <t xml:space="preserve">Review</t>
        </is>
      </c>
      <c r="Q130" s="4" t="inlineStr">
        <is>
          <t xml:space="preserve"/>
        </is>
      </c>
      <c r="R130" s="5">
        <f>IF(OR(M130="DUP",N130="DUP",O130="CHECK"),"CHECK","")</f>
      </c>
    </row>
    <row r="131">
      <c r="A131" s="2">
        <v>1</v>
      </c>
      <c r="B131" s="2" t="inlineStr">
        <is>
          <t xml:space="preserve">welcome.standard.1</t>
        </is>
      </c>
      <c r="C131" s="2" t="inlineStr">
        <is>
          <t xml:space="preserve">welcome.standard</t>
        </is>
      </c>
      <c r="D131" s="2" t="inlineStr">
        <is>
          <t xml:space="preserve">welcome.standard.1</t>
        </is>
      </c>
      <c r="E131" s="2" t="inlineStr">
        <is>
          <t xml:space="preserve">personal_trainer</t>
        </is>
      </c>
      <c r="F131" s="2" t="inlineStr">
        <is>
          <t xml:space="preserve">core</t>
        </is>
      </c>
      <c r="G131" s="2" t="inlineStr">
        <is>
          <t xml:space="preserve">Good to see you. Let's start with some easy movement and build from there.</t>
        </is>
      </c>
      <c r="H131" s="2" t="inlineStr">
        <is>
          <t xml:space="preserve">Fint at du er her. Vi starter rolig og bygger derfra.</t>
        </is>
      </c>
      <c r="I131" s="3">
        <f>IF(LEN(TRIM(G131))=0,0,LEN(TRIM(G131))-LEN(SUBSTITUTE(TRIM(G131)," ",""))+1)</f>
      </c>
      <c r="J131" s="3">
        <f>IF(LEN(TRIM(H131))=0,0,LEN(TRIM(H131))-LEN(SUBSTITUTE(TRIM(H131)," ",""))+1)</f>
      </c>
      <c r="K131" s="3">
        <f>LEN(G131)</f>
      </c>
      <c r="L131" s="3">
        <f>LEN(H131)</f>
      </c>
      <c r="M131" s="3">
        <f>IF(COUNTIF($G:$G,G131)&gt;1,"DUP","")</f>
      </c>
      <c r="N131" s="3">
        <f>IF(COUNTIF($H:$H,H131)&gt;1,"DUP","")</f>
      </c>
      <c r="O131" s="3">
        <f>IF(LEFT(B131,LEN(C131))=C131,"OK","CHECK")</f>
      </c>
      <c r="P131" s="4" t="inlineStr">
        <is>
          <t xml:space="preserve">Review</t>
        </is>
      </c>
      <c r="Q131" s="4" t="inlineStr">
        <is>
          <t xml:space="preserve"/>
        </is>
      </c>
      <c r="R131" s="5">
        <f>IF(OR(M131="DUP",N131="DUP",O131="CHECK"),"CHECK","")</f>
      </c>
    </row>
    <row r="132">
      <c r="A132" s="2">
        <v>2</v>
      </c>
      <c r="B132" s="2" t="inlineStr">
        <is>
          <t xml:space="preserve">welcome.standard.2</t>
        </is>
      </c>
      <c r="C132" s="2" t="inlineStr">
        <is>
          <t xml:space="preserve">welcome.standard</t>
        </is>
      </c>
      <c r="D132" s="2" t="inlineStr">
        <is>
          <t xml:space="preserve">welcome.standard.2</t>
        </is>
      </c>
      <c r="E132" s="2" t="inlineStr">
        <is>
          <t xml:space="preserve">personal_trainer</t>
        </is>
      </c>
      <c r="F132" s="2" t="inlineStr">
        <is>
          <t xml:space="preserve">core</t>
        </is>
      </c>
      <c r="G132" s="2" t="inlineStr">
        <is>
          <t xml:space="preserve">Ready when you are. Take a breath, settle in, and we'll ease into it.</t>
        </is>
      </c>
      <c r="H132" s="2" t="inlineStr">
        <is>
          <t xml:space="preserve">Klar når du er. Ta et pust, finn roen, så setter vi i gang.</t>
        </is>
      </c>
      <c r="I132" s="3">
        <f>IF(LEN(TRIM(G132))=0,0,LEN(TRIM(G132))-LEN(SUBSTITUTE(TRIM(G132)," ",""))+1)</f>
      </c>
      <c r="J132" s="3">
        <f>IF(LEN(TRIM(H132))=0,0,LEN(TRIM(H132))-LEN(SUBSTITUTE(TRIM(H132)," ",""))+1)</f>
      </c>
      <c r="K132" s="3">
        <f>LEN(G132)</f>
      </c>
      <c r="L132" s="3">
        <f>LEN(H132)</f>
      </c>
      <c r="M132" s="3">
        <f>IF(COUNTIF($G:$G,G132)&gt;1,"DUP","")</f>
      </c>
      <c r="N132" s="3">
        <f>IF(COUNTIF($H:$H,H132)&gt;1,"DUP","")</f>
      </c>
      <c r="O132" s="3">
        <f>IF(LEFT(B132,LEN(C132))=C132,"OK","CHECK")</f>
      </c>
      <c r="P132" s="4" t="inlineStr">
        <is>
          <t xml:space="preserve">Review</t>
        </is>
      </c>
      <c r="Q132" s="4" t="inlineStr">
        <is>
          <t xml:space="preserve"/>
        </is>
      </c>
      <c r="R132" s="5">
        <f>IF(OR(M132="DUP",N132="DUP",O132="CHECK"),"CHECK","")</f>
      </c>
    </row>
    <row r="133">
      <c r="A133" s="2">
        <v>3</v>
      </c>
      <c r="B133" s="2" t="inlineStr">
        <is>
          <t xml:space="preserve">welcome.standard.3</t>
        </is>
      </c>
      <c r="C133" s="2" t="inlineStr">
        <is>
          <t xml:space="preserve">welcome.standard</t>
        </is>
      </c>
      <c r="D133" s="2" t="inlineStr">
        <is>
          <t xml:space="preserve">welcome.standard.3</t>
        </is>
      </c>
      <c r="E133" s="2" t="inlineStr">
        <is>
          <t xml:space="preserve">personal_trainer</t>
        </is>
      </c>
      <c r="F133" s="2" t="inlineStr">
        <is>
          <t xml:space="preserve">core</t>
        </is>
      </c>
      <c r="G133" s="2" t="inlineStr">
        <is>
          <t xml:space="preserve">Nice timing. Let's warm up properly and set the tone for a good session.</t>
        </is>
      </c>
      <c r="H133" s="2" t="inlineStr">
        <is>
          <t xml:space="preserve">Bra timing. La oss varme opp ordentlig og legge grunnlaget.</t>
        </is>
      </c>
      <c r="I133" s="3">
        <f>IF(LEN(TRIM(G133))=0,0,LEN(TRIM(G133))-LEN(SUBSTITUTE(TRIM(G133)," ",""))+1)</f>
      </c>
      <c r="J133" s="3">
        <f>IF(LEN(TRIM(H133))=0,0,LEN(TRIM(H133))-LEN(SUBSTITUTE(TRIM(H133)," ",""))+1)</f>
      </c>
      <c r="K133" s="3">
        <f>LEN(G133)</f>
      </c>
      <c r="L133" s="3">
        <f>LEN(H133)</f>
      </c>
      <c r="M133" s="3">
        <f>IF(COUNTIF($G:$G,G133)&gt;1,"DUP","")</f>
      </c>
      <c r="N133" s="3">
        <f>IF(COUNTIF($H:$H,H133)&gt;1,"DUP","")</f>
      </c>
      <c r="O133" s="3">
        <f>IF(LEFT(B133,LEN(C133))=C133,"OK","CHECK")</f>
      </c>
      <c r="P133" s="4" t="inlineStr">
        <is>
          <t xml:space="preserve">Review</t>
        </is>
      </c>
      <c r="Q133" s="4" t="inlineStr">
        <is>
          <t xml:space="preserve"/>
        </is>
      </c>
      <c r="R133" s="5">
        <f>IF(OR(M133="DUP",N133="DUP",O133="CHECK"),"CHECK","")</f>
      </c>
    </row>
    <row r="134">
      <c r="A134" s="2">
        <v>4</v>
      </c>
      <c r="B134" s="2" t="inlineStr">
        <is>
          <t xml:space="preserve">welcome.standard.4</t>
        </is>
      </c>
      <c r="C134" s="2" t="inlineStr">
        <is>
          <t xml:space="preserve">welcome.standard</t>
        </is>
      </c>
      <c r="D134" s="2" t="inlineStr">
        <is>
          <t xml:space="preserve">welcome.standard.4</t>
        </is>
      </c>
      <c r="E134" s="2" t="inlineStr">
        <is>
          <t xml:space="preserve">personal_trainer</t>
        </is>
      </c>
      <c r="F134" s="2" t="inlineStr">
        <is>
          <t xml:space="preserve">core</t>
        </is>
      </c>
      <c r="G134" s="2" t="inlineStr">
        <is>
          <t xml:space="preserve">Let's get moving. Controlled pace to start, then we'll find your rhythm.</t>
        </is>
      </c>
      <c r="H134" s="2" t="inlineStr">
        <is>
          <t xml:space="preserve">La oss komme i gang. Kontrollert tempo til å begynne med.</t>
        </is>
      </c>
      <c r="I134" s="3">
        <f>IF(LEN(TRIM(G134))=0,0,LEN(TRIM(G134))-LEN(SUBSTITUTE(TRIM(G134)," ",""))+1)</f>
      </c>
      <c r="J134" s="3">
        <f>IF(LEN(TRIM(H134))=0,0,LEN(TRIM(H134))-LEN(SUBSTITUTE(TRIM(H134)," ",""))+1)</f>
      </c>
      <c r="K134" s="3">
        <f>LEN(G134)</f>
      </c>
      <c r="L134" s="3">
        <f>LEN(H134)</f>
      </c>
      <c r="M134" s="3">
        <f>IF(COUNTIF($G:$G,G134)&gt;1,"DUP","")</f>
      </c>
      <c r="N134" s="3">
        <f>IF(COUNTIF($H:$H,H134)&gt;1,"DUP","")</f>
      </c>
      <c r="O134" s="3">
        <f>IF(LEFT(B134,LEN(C134))=C134,"OK","CHECK")</f>
      </c>
      <c r="P134" s="4" t="inlineStr">
        <is>
          <t xml:space="preserve">Review</t>
        </is>
      </c>
      <c r="Q134" s="4" t="inlineStr">
        <is>
          <t xml:space="preserve"/>
        </is>
      </c>
      <c r="R134" s="5">
        <f>IF(OR(M134="DUP",N134="DUP",O134="CHECK"),"CHECK","")</f>
      </c>
    </row>
    <row r="135">
      <c r="A135" s="2">
        <v>5</v>
      </c>
      <c r="B135" s="2" t="inlineStr">
        <is>
          <t xml:space="preserve">welcome.standard.5</t>
        </is>
      </c>
      <c r="C135" s="2" t="inlineStr">
        <is>
          <t xml:space="preserve">welcome.standard</t>
        </is>
      </c>
      <c r="D135" s="2" t="inlineStr">
        <is>
          <t xml:space="preserve">welcome.standard.5</t>
        </is>
      </c>
      <c r="E135" s="2" t="inlineStr">
        <is>
          <t xml:space="preserve">personal_trainer</t>
        </is>
      </c>
      <c r="F135" s="2" t="inlineStr">
        <is>
          <t xml:space="preserve">core</t>
        </is>
      </c>
      <c r="G135" s="2" t="inlineStr">
        <is>
          <t xml:space="preserve">Welcome back. Focus on how your body feels and we'll build from there.</t>
        </is>
      </c>
      <c r="H135" s="2" t="inlineStr">
        <is>
          <t xml:space="preserve">Velkommen tilbake. Kjenn på kroppen så bygger vi derfra.</t>
        </is>
      </c>
      <c r="I135" s="3">
        <f>IF(LEN(TRIM(G135))=0,0,LEN(TRIM(G135))-LEN(SUBSTITUTE(TRIM(G135)," ",""))+1)</f>
      </c>
      <c r="J135" s="3">
        <f>IF(LEN(TRIM(H135))=0,0,LEN(TRIM(H135))-LEN(SUBSTITUTE(TRIM(H135)," ",""))+1)</f>
      </c>
      <c r="K135" s="3">
        <f>LEN(G135)</f>
      </c>
      <c r="L135" s="3">
        <f>LEN(H135)</f>
      </c>
      <c r="M135" s="3">
        <f>IF(COUNTIF($G:$G,G135)&gt;1,"DUP","")</f>
      </c>
      <c r="N135" s="3">
        <f>IF(COUNTIF($H:$H,H135)&gt;1,"DUP","")</f>
      </c>
      <c r="O135" s="3">
        <f>IF(LEFT(B135,LEN(C135))=C135,"OK","CHECK")</f>
      </c>
      <c r="P135" s="4" t="inlineStr">
        <is>
          <t xml:space="preserve">Review</t>
        </is>
      </c>
      <c r="Q135" s="4" t="inlineStr">
        <is>
          <t xml:space="preserve"/>
        </is>
      </c>
      <c r="R135" s="5">
        <f>IF(OR(M135="DUP",N135="DUP",O135="CHECK"),"CHECK","")</f>
      </c>
    </row>
    <row r="136">
      <c r="A136" s="2">
        <v>6</v>
      </c>
      <c r="B136" s="2" t="inlineStr">
        <is>
          <t xml:space="preserve">welcome.standard.6</t>
        </is>
      </c>
      <c r="C136" s="2" t="inlineStr">
        <is>
          <t xml:space="preserve">welcome.standard</t>
        </is>
      </c>
      <c r="D136" s="2" t="inlineStr">
        <is>
          <t xml:space="preserve">welcome.standard.6</t>
        </is>
      </c>
      <c r="E136" s="2" t="inlineStr">
        <is>
          <t xml:space="preserve">personal_trainer</t>
        </is>
      </c>
      <c r="F136" s="2" t="inlineStr">
        <is>
          <t xml:space="preserve">core</t>
        </is>
      </c>
      <c r="G136" s="2" t="inlineStr">
        <is>
          <t xml:space="preserve">Alright, let's begin. Smooth and steady, no rush.</t>
        </is>
      </c>
      <c r="H136" s="2" t="inlineStr">
        <is>
          <t xml:space="preserve">Ok, la oss begynne. Rolig og jevnt, uten stress.</t>
        </is>
      </c>
      <c r="I136" s="3">
        <f>IF(LEN(TRIM(G136))=0,0,LEN(TRIM(G136))-LEN(SUBSTITUTE(TRIM(G136)," ",""))+1)</f>
      </c>
      <c r="J136" s="3">
        <f>IF(LEN(TRIM(H136))=0,0,LEN(TRIM(H136))-LEN(SUBSTITUTE(TRIM(H136)," ",""))+1)</f>
      </c>
      <c r="K136" s="3">
        <f>LEN(G136)</f>
      </c>
      <c r="L136" s="3">
        <f>LEN(H136)</f>
      </c>
      <c r="M136" s="3">
        <f>IF(COUNTIF($G:$G,G136)&gt;1,"DUP","")</f>
      </c>
      <c r="N136" s="3">
        <f>IF(COUNTIF($H:$H,H136)&gt;1,"DUP","")</f>
      </c>
      <c r="O136" s="3">
        <f>IF(LEFT(B136,LEN(C136))=C136,"OK","CHECK")</f>
      </c>
      <c r="P136" s="4" t="inlineStr">
        <is>
          <t xml:space="preserve">Review</t>
        </is>
      </c>
      <c r="Q136" s="4" t="inlineStr">
        <is>
          <t xml:space="preserve"/>
        </is>
      </c>
      <c r="R136" s="5">
        <f>IF(OR(M136="DUP",N136="DUP",O136="CHECK"),"CHECK","")</f>
      </c>
    </row>
    <row r="137">
      <c r="A137" s="2">
        <v>7</v>
      </c>
      <c r="B137" s="2" t="inlineStr">
        <is>
          <t xml:space="preserve">welcome.standard.7</t>
        </is>
      </c>
      <c r="C137" s="2" t="inlineStr">
        <is>
          <t xml:space="preserve">welcome.standard</t>
        </is>
      </c>
      <c r="D137" s="2" t="inlineStr">
        <is>
          <t xml:space="preserve">welcome.standard.7</t>
        </is>
      </c>
      <c r="E137" s="2" t="inlineStr">
        <is>
          <t xml:space="preserve">personal_trainer</t>
        </is>
      </c>
      <c r="F137" s="2" t="inlineStr">
        <is>
          <t xml:space="preserve">core</t>
        </is>
      </c>
      <c r="G137" s="2" t="inlineStr">
        <is>
          <t xml:space="preserve">Good call showing up. Start easy, the intensity will come naturally.</t>
        </is>
      </c>
      <c r="H137" s="2" t="inlineStr">
        <is>
          <t xml:space="preserve">Bra at du dukket opp. Start rolig, intensiteten kommer naturlig.</t>
        </is>
      </c>
      <c r="I137" s="3">
        <f>IF(LEN(TRIM(G137))=0,0,LEN(TRIM(G137))-LEN(SUBSTITUTE(TRIM(G137)," ",""))+1)</f>
      </c>
      <c r="J137" s="3">
        <f>IF(LEN(TRIM(H137))=0,0,LEN(TRIM(H137))-LEN(SUBSTITUTE(TRIM(H137)," ",""))+1)</f>
      </c>
      <c r="K137" s="3">
        <f>LEN(G137)</f>
      </c>
      <c r="L137" s="3">
        <f>LEN(H137)</f>
      </c>
      <c r="M137" s="3">
        <f>IF(COUNTIF($G:$G,G137)&gt;1,"DUP","")</f>
      </c>
      <c r="N137" s="3">
        <f>IF(COUNTIF($H:$H,H137)&gt;1,"DUP","")</f>
      </c>
      <c r="O137" s="3">
        <f>IF(LEFT(B137,LEN(C137))=C137,"OK","CHECK")</f>
      </c>
      <c r="P137" s="4" t="inlineStr">
        <is>
          <t xml:space="preserve">Review</t>
        </is>
      </c>
      <c r="Q137" s="4" t="inlineStr">
        <is>
          <t xml:space="preserve"/>
        </is>
      </c>
      <c r="R137" s="5">
        <f>IF(OR(M137="DUP",N137="DUP",O137="CHECK"),"CHECK","")</f>
      </c>
    </row>
    <row r="138">
      <c r="A138" s="2">
        <v>139</v>
      </c>
      <c r="B138" s="2" t="inlineStr">
        <is>
          <t xml:space="preserve">zone.above.default.1</t>
        </is>
      </c>
      <c r="C138" s="2" t="inlineStr">
        <is>
          <t xml:space="preserve">zone.above</t>
        </is>
      </c>
      <c r="D138" s="2" t="inlineStr">
        <is>
          <t xml:space="preserve">zone.above.default</t>
        </is>
      </c>
      <c r="E138" s="2" t="inlineStr">
        <is>
          <t xml:space="preserve">personal_trainer</t>
        </is>
      </c>
      <c r="F138" s="2" t="inlineStr">
        <is>
          <t xml:space="preserve">core</t>
        </is>
      </c>
      <c r="G138" s="2" t="inlineStr">
        <is>
          <t xml:space="preserve">Ease off and regain control.</t>
        </is>
      </c>
      <c r="H138" s="2" t="inlineStr">
        <is>
          <t xml:space="preserve">Litt ned. Finn kontroll.</t>
        </is>
      </c>
      <c r="I138" s="3">
        <f>IF(LEN(TRIM(G138))=0,0,LEN(TRIM(G138))-LEN(SUBSTITUTE(TRIM(G138)," ",""))+1)</f>
      </c>
      <c r="J138" s="3">
        <f>IF(LEN(TRIM(H138))=0,0,LEN(TRIM(H138))-LEN(SUBSTITUTE(TRIM(H138)," ",""))+1)</f>
      </c>
      <c r="K138" s="3">
        <f>LEN(G138)</f>
      </c>
      <c r="L138" s="3">
        <f>LEN(H138)</f>
      </c>
      <c r="M138" s="3">
        <f>IF(COUNTIF($G:$G,G138)&gt;1,"DUP","")</f>
      </c>
      <c r="N138" s="3">
        <f>IF(COUNTIF($H:$H,H138)&gt;1,"DUP","")</f>
      </c>
      <c r="O138" s="3">
        <f>IF(LEFT(B138,LEN(C138))=C138,"OK","CHECK")</f>
      </c>
      <c r="P138" s="4" t="inlineStr">
        <is>
          <t xml:space="preserve">Review</t>
        </is>
      </c>
      <c r="Q138" s="4" t="inlineStr">
        <is>
          <t xml:space="preserve"/>
        </is>
      </c>
      <c r="R138" s="5">
        <f>IF(OR(M138="DUP",N138="DUP",O138="CHECK"),"CHECK","")</f>
      </c>
    </row>
    <row r="139">
      <c r="A139" s="2">
        <v>138</v>
      </c>
      <c r="B139" s="2" t="inlineStr">
        <is>
          <t xml:space="preserve">zone.above.minimal.1</t>
        </is>
      </c>
      <c r="C139" s="2" t="inlineStr">
        <is>
          <t xml:space="preserve">zone.above</t>
        </is>
      </c>
      <c r="D139" s="2" t="inlineStr">
        <is>
          <t xml:space="preserve">zone.above.minimal</t>
        </is>
      </c>
      <c r="E139" s="2" t="inlineStr">
        <is>
          <t xml:space="preserve">personal_trainer</t>
        </is>
      </c>
      <c r="F139" s="2" t="inlineStr">
        <is>
          <t xml:space="preserve">core</t>
        </is>
      </c>
      <c r="G139" s="2" t="inlineStr">
        <is>
          <t xml:space="preserve">Ease off 10-15 seconds.</t>
        </is>
      </c>
      <c r="H139" s="2" t="inlineStr">
        <is>
          <t xml:space="preserve">Litt ned 10-15 sekunder.</t>
        </is>
      </c>
      <c r="I139" s="3">
        <f>IF(LEN(TRIM(G139))=0,0,LEN(TRIM(G139))-LEN(SUBSTITUTE(TRIM(G139)," ",""))+1)</f>
      </c>
      <c r="J139" s="3">
        <f>IF(LEN(TRIM(H139))=0,0,LEN(TRIM(H139))-LEN(SUBSTITUTE(TRIM(H139)," ",""))+1)</f>
      </c>
      <c r="K139" s="3">
        <f>LEN(G139)</f>
      </c>
      <c r="L139" s="3">
        <f>LEN(H139)</f>
      </c>
      <c r="M139" s="3">
        <f>IF(COUNTIF($G:$G,G139)&gt;1,"DUP","")</f>
      </c>
      <c r="N139" s="3">
        <f>IF(COUNTIF($H:$H,H139)&gt;1,"DUP","")</f>
      </c>
      <c r="O139" s="3">
        <f>IF(LEFT(B139,LEN(C139))=C139,"OK","CHECK")</f>
      </c>
      <c r="P139" s="4" t="inlineStr">
        <is>
          <t xml:space="preserve">Review</t>
        </is>
      </c>
      <c r="Q139" s="4" t="inlineStr">
        <is>
          <t xml:space="preserve"/>
        </is>
      </c>
      <c r="R139" s="5">
        <f>IF(OR(M139="DUP",N139="DUP",O139="CHECK"),"CHECK","")</f>
      </c>
    </row>
    <row r="140">
      <c r="A140" s="2">
        <v>141</v>
      </c>
      <c r="B140" s="2" t="inlineStr">
        <is>
          <t xml:space="preserve">zone.above_ease.default.1</t>
        </is>
      </c>
      <c r="C140" s="2" t="inlineStr">
        <is>
          <t xml:space="preserve">zone.above_ease</t>
        </is>
      </c>
      <c r="D140" s="2" t="inlineStr">
        <is>
          <t xml:space="preserve">zone.above_ease.default</t>
        </is>
      </c>
      <c r="E140" s="2" t="inlineStr">
        <is>
          <t xml:space="preserve">personal_trainer</t>
        </is>
      </c>
      <c r="F140" s="2" t="inlineStr">
        <is>
          <t xml:space="preserve">core</t>
        </is>
      </c>
      <c r="G140" s="2" t="inlineStr">
        <is>
          <t xml:space="preserve">Your heart rate is still climbing. Ease down for 20 seconds.</t>
        </is>
      </c>
      <c r="H140" s="2" t="inlineStr">
        <is>
          <t xml:space="preserve">Pulsen stiger fortsatt. Ro ned 20 sekunder.</t>
        </is>
      </c>
      <c r="I140" s="3">
        <f>IF(LEN(TRIM(G140))=0,0,LEN(TRIM(G140))-LEN(SUBSTITUTE(TRIM(G140)," ",""))+1)</f>
      </c>
      <c r="J140" s="3">
        <f>IF(LEN(TRIM(H140))=0,0,LEN(TRIM(H140))-LEN(SUBSTITUTE(TRIM(H140)," ",""))+1)</f>
      </c>
      <c r="K140" s="3">
        <f>LEN(G140)</f>
      </c>
      <c r="L140" s="3">
        <f>LEN(H140)</f>
      </c>
      <c r="M140" s="3">
        <f>IF(COUNTIF($G:$G,G140)&gt;1,"DUP","")</f>
      </c>
      <c r="N140" s="3">
        <f>IF(COUNTIF($H:$H,H140)&gt;1,"DUP","")</f>
      </c>
      <c r="O140" s="3">
        <f>IF(LEFT(B140,LEN(C140))=C140,"OK","CHECK")</f>
      </c>
      <c r="P140" s="4" t="inlineStr">
        <is>
          <t xml:space="preserve">Review</t>
        </is>
      </c>
      <c r="Q140" s="4" t="inlineStr">
        <is>
          <t xml:space="preserve"/>
        </is>
      </c>
      <c r="R140" s="5">
        <f>IF(OR(M140="DUP",N140="DUP",O140="CHECK"),"CHECK","")</f>
      </c>
    </row>
    <row r="141">
      <c r="A141" s="2">
        <v>140</v>
      </c>
      <c r="B141" s="2" t="inlineStr">
        <is>
          <t xml:space="preserve">zone.above_ease.minimal.1</t>
        </is>
      </c>
      <c r="C141" s="2" t="inlineStr">
        <is>
          <t xml:space="preserve">zone.above_ease</t>
        </is>
      </c>
      <c r="D141" s="2" t="inlineStr">
        <is>
          <t xml:space="preserve">zone.above_ease.minimal</t>
        </is>
      </c>
      <c r="E141" s="2" t="inlineStr">
        <is>
          <t xml:space="preserve">personal_trainer</t>
        </is>
      </c>
      <c r="F141" s="2" t="inlineStr">
        <is>
          <t xml:space="preserve">core</t>
        </is>
      </c>
      <c r="G141" s="2" t="inlineStr">
        <is>
          <t xml:space="preserve">HR still climbing. Ease down.</t>
        </is>
      </c>
      <c r="H141" s="2" t="inlineStr">
        <is>
          <t xml:space="preserve">Pulsen stiger. Rolig ned.</t>
        </is>
      </c>
      <c r="I141" s="3">
        <f>IF(LEN(TRIM(G141))=0,0,LEN(TRIM(G141))-LEN(SUBSTITUTE(TRIM(G141)," ",""))+1)</f>
      </c>
      <c r="J141" s="3">
        <f>IF(LEN(TRIM(H141))=0,0,LEN(TRIM(H141))-LEN(SUBSTITUTE(TRIM(H141)," ",""))+1)</f>
      </c>
      <c r="K141" s="3">
        <f>LEN(G141)</f>
      </c>
      <c r="L141" s="3">
        <f>LEN(H141)</f>
      </c>
      <c r="M141" s="3">
        <f>IF(COUNTIF($G:$G,G141)&gt;1,"DUP","")</f>
      </c>
      <c r="N141" s="3">
        <f>IF(COUNTIF($H:$H,H141)&gt;1,"DUP","")</f>
      </c>
      <c r="O141" s="3">
        <f>IF(LEFT(B141,LEN(C141))=C141,"OK","CHECK")</f>
      </c>
      <c r="P141" s="4" t="inlineStr">
        <is>
          <t xml:space="preserve">Review</t>
        </is>
      </c>
      <c r="Q141" s="4" t="inlineStr">
        <is>
          <t xml:space="preserve"/>
        </is>
      </c>
      <c r="R141" s="5">
        <f>IF(OR(M141="DUP",N141="DUP",O141="CHECK"),"CHECK","")</f>
      </c>
    </row>
    <row r="142">
      <c r="A142" s="2">
        <v>143</v>
      </c>
      <c r="B142" s="2" t="inlineStr">
        <is>
          <t xml:space="preserve">zone.below.default.1</t>
        </is>
      </c>
      <c r="C142" s="2" t="inlineStr">
        <is>
          <t xml:space="preserve">zone.below</t>
        </is>
      </c>
      <c r="D142" s="2" t="inlineStr">
        <is>
          <t xml:space="preserve">zone.below.default</t>
        </is>
      </c>
      <c r="E142" s="2" t="inlineStr">
        <is>
          <t xml:space="preserve">personal_trainer</t>
        </is>
      </c>
      <c r="F142" s="2" t="inlineStr">
        <is>
          <t xml:space="preserve">core</t>
        </is>
      </c>
      <c r="G142" s="2" t="inlineStr">
        <is>
          <t xml:space="preserve">Build effort slightly now.</t>
        </is>
      </c>
      <c r="H142" s="2" t="inlineStr">
        <is>
          <t xml:space="preserve">Litt opp i innsats nå.</t>
        </is>
      </c>
      <c r="I142" s="3">
        <f>IF(LEN(TRIM(G142))=0,0,LEN(TRIM(G142))-LEN(SUBSTITUTE(TRIM(G142)," ",""))+1)</f>
      </c>
      <c r="J142" s="3">
        <f>IF(LEN(TRIM(H142))=0,0,LEN(TRIM(H142))-LEN(SUBSTITUTE(TRIM(H142)," ",""))+1)</f>
      </c>
      <c r="K142" s="3">
        <f>LEN(G142)</f>
      </c>
      <c r="L142" s="3">
        <f>LEN(H142)</f>
      </c>
      <c r="M142" s="3">
        <f>IF(COUNTIF($G:$G,G142)&gt;1,"DUP","")</f>
      </c>
      <c r="N142" s="3">
        <f>IF(COUNTIF($H:$H,H142)&gt;1,"DUP","")</f>
      </c>
      <c r="O142" s="3">
        <f>IF(LEFT(B142,LEN(C142))=C142,"OK","CHECK")</f>
      </c>
      <c r="P142" s="4" t="inlineStr">
        <is>
          <t xml:space="preserve">Review</t>
        </is>
      </c>
      <c r="Q142" s="4" t="inlineStr">
        <is>
          <t xml:space="preserve"/>
        </is>
      </c>
      <c r="R142" s="5">
        <f>IF(OR(M142="DUP",N142="DUP",O142="CHECK"),"CHECK","")</f>
      </c>
    </row>
    <row r="143">
      <c r="A143" s="2">
        <v>142</v>
      </c>
      <c r="B143" s="2" t="inlineStr">
        <is>
          <t xml:space="preserve">zone.below.minimal.1</t>
        </is>
      </c>
      <c r="C143" s="2" t="inlineStr">
        <is>
          <t xml:space="preserve">zone.below</t>
        </is>
      </c>
      <c r="D143" s="2" t="inlineStr">
        <is>
          <t xml:space="preserve">zone.below.minimal</t>
        </is>
      </c>
      <c r="E143" s="2" t="inlineStr">
        <is>
          <t xml:space="preserve">personal_trainer</t>
        </is>
      </c>
      <c r="F143" s="2" t="inlineStr">
        <is>
          <t xml:space="preserve">core</t>
        </is>
      </c>
      <c r="G143" s="2" t="inlineStr">
        <is>
          <t xml:space="preserve">Build slightly now.</t>
        </is>
      </c>
      <c r="H143" s="2" t="inlineStr">
        <is>
          <t xml:space="preserve">Bygg litt opp nå.</t>
        </is>
      </c>
      <c r="I143" s="3">
        <f>IF(LEN(TRIM(G143))=0,0,LEN(TRIM(G143))-LEN(SUBSTITUTE(TRIM(G143)," ",""))+1)</f>
      </c>
      <c r="J143" s="3">
        <f>IF(LEN(TRIM(H143))=0,0,LEN(TRIM(H143))-LEN(SUBSTITUTE(TRIM(H143)," ",""))+1)</f>
      </c>
      <c r="K143" s="3">
        <f>LEN(G143)</f>
      </c>
      <c r="L143" s="3">
        <f>LEN(H143)</f>
      </c>
      <c r="M143" s="3">
        <f>IF(COUNTIF($G:$G,G143)&gt;1,"DUP","")</f>
      </c>
      <c r="N143" s="3">
        <f>IF(COUNTIF($H:$H,H143)&gt;1,"DUP","")</f>
      </c>
      <c r="O143" s="3">
        <f>IF(LEFT(B143,LEN(C143))=C143,"OK","CHECK")</f>
      </c>
      <c r="P143" s="4" t="inlineStr">
        <is>
          <t xml:space="preserve">Review</t>
        </is>
      </c>
      <c r="Q143" s="4" t="inlineStr">
        <is>
          <t xml:space="preserve"/>
        </is>
      </c>
      <c r="R143" s="5">
        <f>IF(OR(M143="DUP",N143="DUP",O143="CHECK"),"CHECK","")</f>
      </c>
    </row>
    <row r="144">
      <c r="A144" s="2">
        <v>145</v>
      </c>
      <c r="B144" s="2" t="inlineStr">
        <is>
          <t xml:space="preserve">zone.below_push.default.1</t>
        </is>
      </c>
      <c r="C144" s="2" t="inlineStr">
        <is>
          <t xml:space="preserve">zone.below_push</t>
        </is>
      </c>
      <c r="D144" s="2" t="inlineStr">
        <is>
          <t xml:space="preserve">zone.below_push.default</t>
        </is>
      </c>
      <c r="E144" s="2" t="inlineStr">
        <is>
          <t xml:space="preserve">personal_trainer</t>
        </is>
      </c>
      <c r="F144" s="2" t="inlineStr">
        <is>
          <t xml:space="preserve">core</t>
        </is>
      </c>
      <c r="G144" s="2" t="inlineStr">
        <is>
          <t xml:space="preserve">You're moving well. Add a little effort and keep the flow.</t>
        </is>
      </c>
      <c r="H144" s="2" t="inlineStr">
        <is>
          <t xml:space="preserve">Du er i gang. Øk litt nå og hold flyten.</t>
        </is>
      </c>
      <c r="I144" s="3">
        <f>IF(LEN(TRIM(G144))=0,0,LEN(TRIM(G144))-LEN(SUBSTITUTE(TRIM(G144)," ",""))+1)</f>
      </c>
      <c r="J144" s="3">
        <f>IF(LEN(TRIM(H144))=0,0,LEN(TRIM(H144))-LEN(SUBSTITUTE(TRIM(H144)," ",""))+1)</f>
      </c>
      <c r="K144" s="3">
        <f>LEN(G144)</f>
      </c>
      <c r="L144" s="3">
        <f>LEN(H144)</f>
      </c>
      <c r="M144" s="3">
        <f>IF(COUNTIF($G:$G,G144)&gt;1,"DUP","")</f>
      </c>
      <c r="N144" s="3">
        <f>IF(COUNTIF($H:$H,H144)&gt;1,"DUP","")</f>
      </c>
      <c r="O144" s="3">
        <f>IF(LEFT(B144,LEN(C144))=C144,"OK","CHECK")</f>
      </c>
      <c r="P144" s="4" t="inlineStr">
        <is>
          <t xml:space="preserve">Review</t>
        </is>
      </c>
      <c r="Q144" s="4" t="inlineStr">
        <is>
          <t xml:space="preserve"/>
        </is>
      </c>
      <c r="R144" s="5">
        <f>IF(OR(M144="DUP",N144="DUP",O144="CHECK"),"CHECK","")</f>
      </c>
    </row>
    <row r="145">
      <c r="A145" s="2">
        <v>144</v>
      </c>
      <c r="B145" s="2" t="inlineStr">
        <is>
          <t xml:space="preserve">zone.below_push.minimal.1</t>
        </is>
      </c>
      <c r="C145" s="2" t="inlineStr">
        <is>
          <t xml:space="preserve">zone.below_push</t>
        </is>
      </c>
      <c r="D145" s="2" t="inlineStr">
        <is>
          <t xml:space="preserve">zone.below_push.minimal</t>
        </is>
      </c>
      <c r="E145" s="2" t="inlineStr">
        <is>
          <t xml:space="preserve">personal_trainer</t>
        </is>
      </c>
      <c r="F145" s="2" t="inlineStr">
        <is>
          <t xml:space="preserve">core</t>
        </is>
      </c>
      <c r="G145" s="2" t="inlineStr">
        <is>
          <t xml:space="preserve">You're moving. Add a little.</t>
        </is>
      </c>
      <c r="H145" s="2" t="inlineStr">
        <is>
          <t xml:space="preserve">Du er i gang. Litt opp.</t>
        </is>
      </c>
      <c r="I145" s="3">
        <f>IF(LEN(TRIM(G145))=0,0,LEN(TRIM(G145))-LEN(SUBSTITUTE(TRIM(G145)," ",""))+1)</f>
      </c>
      <c r="J145" s="3">
        <f>IF(LEN(TRIM(H145))=0,0,LEN(TRIM(H145))-LEN(SUBSTITUTE(TRIM(H145)," ",""))+1)</f>
      </c>
      <c r="K145" s="3">
        <f>LEN(G145)</f>
      </c>
      <c r="L145" s="3">
        <f>LEN(H145)</f>
      </c>
      <c r="M145" s="3">
        <f>IF(COUNTIF($G:$G,G145)&gt;1,"DUP","")</f>
      </c>
      <c r="N145" s="3">
        <f>IF(COUNTIF($H:$H,H145)&gt;1,"DUP","")</f>
      </c>
      <c r="O145" s="3">
        <f>IF(LEFT(B145,LEN(C145))=C145,"OK","CHECK")</f>
      </c>
      <c r="P145" s="4" t="inlineStr">
        <is>
          <t xml:space="preserve">Review</t>
        </is>
      </c>
      <c r="Q145" s="4" t="inlineStr">
        <is>
          <t xml:space="preserve"/>
        </is>
      </c>
      <c r="R145" s="5">
        <f>IF(OR(M145="DUP",N145="DUP",O145="CHECK"),"CHECK","")</f>
      </c>
    </row>
    <row r="146">
      <c r="A146" s="2">
        <v>131</v>
      </c>
      <c r="B146" s="2" t="inlineStr">
        <is>
          <t xml:space="preserve">zone.countdown.15</t>
        </is>
      </c>
      <c r="C146" s="2" t="inlineStr">
        <is>
          <t xml:space="preserve">zone.countdown</t>
        </is>
      </c>
      <c r="D146" s="2" t="inlineStr">
        <is>
          <t xml:space="preserve">zone.countdown.15</t>
        </is>
      </c>
      <c r="E146" s="2" t="inlineStr">
        <is>
          <t xml:space="preserve">personal_trainer</t>
        </is>
      </c>
      <c r="F146" s="2" t="inlineStr">
        <is>
          <t xml:space="preserve">core</t>
        </is>
      </c>
      <c r="G146" s="2" t="inlineStr">
        <is>
          <t xml:space="preserve">15 seconds left.</t>
        </is>
      </c>
      <c r="H146" s="2" t="inlineStr">
        <is>
          <t xml:space="preserve">15 sekunder igjen.</t>
        </is>
      </c>
      <c r="I146" s="3">
        <f>IF(LEN(TRIM(G146))=0,0,LEN(TRIM(G146))-LEN(SUBSTITUTE(TRIM(G146)," ",""))+1)</f>
      </c>
      <c r="J146" s="3">
        <f>IF(LEN(TRIM(H146))=0,0,LEN(TRIM(H146))-LEN(SUBSTITUTE(TRIM(H146)," ",""))+1)</f>
      </c>
      <c r="K146" s="3">
        <f>LEN(G146)</f>
      </c>
      <c r="L146" s="3">
        <f>LEN(H146)</f>
      </c>
      <c r="M146" s="3">
        <f>IF(COUNTIF($G:$G,G146)&gt;1,"DUP","")</f>
      </c>
      <c r="N146" s="3">
        <f>IF(COUNTIF($H:$H,H146)&gt;1,"DUP","")</f>
      </c>
      <c r="O146" s="3">
        <f>IF(LEFT(B146,LEN(C146))=C146,"OK","CHECK")</f>
      </c>
      <c r="P146" s="4" t="inlineStr">
        <is>
          <t xml:space="preserve">Review</t>
        </is>
      </c>
      <c r="Q146" s="4" t="inlineStr">
        <is>
          <t xml:space="preserve"/>
        </is>
      </c>
      <c r="R146" s="5">
        <f>IF(OR(M146="DUP",N146="DUP",O146="CHECK"),"CHECK","")</f>
      </c>
    </row>
    <row r="147">
      <c r="A147" s="2">
        <v>130</v>
      </c>
      <c r="B147" s="2" t="inlineStr">
        <is>
          <t xml:space="preserve">zone.countdown.30</t>
        </is>
      </c>
      <c r="C147" s="2" t="inlineStr">
        <is>
          <t xml:space="preserve">zone.countdown</t>
        </is>
      </c>
      <c r="D147" s="2" t="inlineStr">
        <is>
          <t xml:space="preserve">zone.countdown.30</t>
        </is>
      </c>
      <c r="E147" s="2" t="inlineStr">
        <is>
          <t xml:space="preserve">personal_trainer</t>
        </is>
      </c>
      <c r="F147" s="2" t="inlineStr">
        <is>
          <t xml:space="preserve">core</t>
        </is>
      </c>
      <c r="G147" s="2" t="inlineStr">
        <is>
          <t xml:space="preserve">30 seconds left.</t>
        </is>
      </c>
      <c r="H147" s="2" t="inlineStr">
        <is>
          <t xml:space="preserve">30 sekunder igjen.</t>
        </is>
      </c>
      <c r="I147" s="3">
        <f>IF(LEN(TRIM(G147))=0,0,LEN(TRIM(G147))-LEN(SUBSTITUTE(TRIM(G147)," ",""))+1)</f>
      </c>
      <c r="J147" s="3">
        <f>IF(LEN(TRIM(H147))=0,0,LEN(TRIM(H147))-LEN(SUBSTITUTE(TRIM(H147)," ",""))+1)</f>
      </c>
      <c r="K147" s="3">
        <f>LEN(G147)</f>
      </c>
      <c r="L147" s="3">
        <f>LEN(H147)</f>
      </c>
      <c r="M147" s="3">
        <f>IF(COUNTIF($G:$G,G147)&gt;1,"DUP","")</f>
      </c>
      <c r="N147" s="3">
        <f>IF(COUNTIF($H:$H,H147)&gt;1,"DUP","")</f>
      </c>
      <c r="O147" s="3">
        <f>IF(LEFT(B147,LEN(C147))=C147,"OK","CHECK")</f>
      </c>
      <c r="P147" s="4" t="inlineStr">
        <is>
          <t xml:space="preserve">Review</t>
        </is>
      </c>
      <c r="Q147" s="4" t="inlineStr">
        <is>
          <t xml:space="preserve"/>
        </is>
      </c>
      <c r="R147" s="5">
        <f>IF(OR(M147="DUP",N147="DUP",O147="CHECK"),"CHECK","")</f>
      </c>
    </row>
    <row r="148">
      <c r="A148" s="2">
        <v>132</v>
      </c>
      <c r="B148" s="2" t="inlineStr">
        <is>
          <t xml:space="preserve">zone.countdown.5</t>
        </is>
      </c>
      <c r="C148" s="2" t="inlineStr">
        <is>
          <t xml:space="preserve">zone.countdown</t>
        </is>
      </c>
      <c r="D148" s="2" t="inlineStr">
        <is>
          <t xml:space="preserve">zone.countdown.5</t>
        </is>
      </c>
      <c r="E148" s="2" t="inlineStr">
        <is>
          <t xml:space="preserve">personal_trainer</t>
        </is>
      </c>
      <c r="F148" s="2" t="inlineStr">
        <is>
          <t xml:space="preserve">core</t>
        </is>
      </c>
      <c r="G148" s="2" t="inlineStr">
        <is>
          <t xml:space="preserve">5 seconds left.</t>
        </is>
      </c>
      <c r="H148" s="2" t="inlineStr">
        <is>
          <t xml:space="preserve">5 sekunder igjen.</t>
        </is>
      </c>
      <c r="I148" s="3">
        <f>IF(LEN(TRIM(G148))=0,0,LEN(TRIM(G148))-LEN(SUBSTITUTE(TRIM(G148)," ",""))+1)</f>
      </c>
      <c r="J148" s="3">
        <f>IF(LEN(TRIM(H148))=0,0,LEN(TRIM(H148))-LEN(SUBSTITUTE(TRIM(H148)," ",""))+1)</f>
      </c>
      <c r="K148" s="3">
        <f>LEN(G148)</f>
      </c>
      <c r="L148" s="3">
        <f>LEN(H148)</f>
      </c>
      <c r="M148" s="3">
        <f>IF(COUNTIF($G:$G,G148)&gt;1,"DUP","")</f>
      </c>
      <c r="N148" s="3">
        <f>IF(COUNTIF($H:$H,H148)&gt;1,"DUP","")</f>
      </c>
      <c r="O148" s="3">
        <f>IF(LEFT(B148,LEN(C148))=C148,"OK","CHECK")</f>
      </c>
      <c r="P148" s="4" t="inlineStr">
        <is>
          <t xml:space="preserve">Review</t>
        </is>
      </c>
      <c r="Q148" s="4" t="inlineStr">
        <is>
          <t xml:space="preserve"/>
        </is>
      </c>
      <c r="R148" s="5">
        <f>IF(OR(M148="DUP",N148="DUP",O148="CHECK"),"CHECK","")</f>
      </c>
    </row>
    <row r="149">
      <c r="A149" s="2">
        <v>133</v>
      </c>
      <c r="B149" s="2" t="inlineStr">
        <is>
          <t xml:space="preserve">zone.countdown.start</t>
        </is>
      </c>
      <c r="C149" s="2" t="inlineStr">
        <is>
          <t xml:space="preserve">zone.countdown</t>
        </is>
      </c>
      <c r="D149" s="2" t="inlineStr">
        <is>
          <t xml:space="preserve">zone.countdown.start</t>
        </is>
      </c>
      <c r="E149" s="2" t="inlineStr">
        <is>
          <t xml:space="preserve">personal_trainer</t>
        </is>
      </c>
      <c r="F149" s="2" t="inlineStr">
        <is>
          <t xml:space="preserve">core</t>
        </is>
      </c>
      <c r="G149" s="2" t="inlineStr">
        <is>
          <t xml:space="preserve">Next interval now.</t>
        </is>
      </c>
      <c r="H149" s="2" t="inlineStr">
        <is>
          <t xml:space="preserve">Neste drag nå.</t>
        </is>
      </c>
      <c r="I149" s="3">
        <f>IF(LEN(TRIM(G149))=0,0,LEN(TRIM(G149))-LEN(SUBSTITUTE(TRIM(G149)," ",""))+1)</f>
      </c>
      <c r="J149" s="3">
        <f>IF(LEN(TRIM(H149))=0,0,LEN(TRIM(H149))-LEN(SUBSTITUTE(TRIM(H149)," ",""))+1)</f>
      </c>
      <c r="K149" s="3">
        <f>LEN(G149)</f>
      </c>
      <c r="L149" s="3">
        <f>LEN(H149)</f>
      </c>
      <c r="M149" s="3">
        <f>IF(COUNTIF($G:$G,G149)&gt;1,"DUP","")</f>
      </c>
      <c r="N149" s="3">
        <f>IF(COUNTIF($H:$H,H149)&gt;1,"DUP","")</f>
      </c>
      <c r="O149" s="3">
        <f>IF(LEFT(B149,LEN(C149))=C149,"OK","CHECK")</f>
      </c>
      <c r="P149" s="4" t="inlineStr">
        <is>
          <t xml:space="preserve">Review</t>
        </is>
      </c>
      <c r="Q149" s="4" t="inlineStr">
        <is>
          <t xml:space="preserve"/>
        </is>
      </c>
      <c r="R149" s="5">
        <f>IF(OR(M149="DUP",N149="DUP",O149="CHECK"),"CHECK","")</f>
      </c>
    </row>
    <row r="150">
      <c r="A150" s="2">
        <v>136</v>
      </c>
      <c r="B150" s="2" t="inlineStr">
        <is>
          <t xml:space="preserve">zone.hr_poor_enter.1</t>
        </is>
      </c>
      <c r="C150" s="2" t="inlineStr">
        <is>
          <t xml:space="preserve">zone.hr_poor_enter</t>
        </is>
      </c>
      <c r="D150" s="2" t="inlineStr">
        <is>
          <t xml:space="preserve">zone.hr_poor_enter.1</t>
        </is>
      </c>
      <c r="E150" s="2" t="inlineStr">
        <is>
          <t xml:space="preserve">personal_trainer</t>
        </is>
      </c>
      <c r="F150" s="2" t="inlineStr">
        <is>
          <t xml:space="preserve">core</t>
        </is>
      </c>
      <c r="G150" s="2" t="inlineStr">
        <is>
          <t xml:space="preserve">Heart-rate signal is weak right now. I'll coach using timing and breathing until it stabilizes. Tighten your watch strap.</t>
        </is>
      </c>
      <c r="H150" s="2" t="inlineStr">
        <is>
          <t xml:space="preserve">Puls-signalet er svakt akkurat nå. Jeg coacher med timing og pust til det stabiliserer seg. Stram klokka litt.</t>
        </is>
      </c>
      <c r="I150" s="3">
        <f>IF(LEN(TRIM(G150))=0,0,LEN(TRIM(G150))-LEN(SUBSTITUTE(TRIM(G150)," ",""))+1)</f>
      </c>
      <c r="J150" s="3">
        <f>IF(LEN(TRIM(H150))=0,0,LEN(TRIM(H150))-LEN(SUBSTITUTE(TRIM(H150)," ",""))+1)</f>
      </c>
      <c r="K150" s="3">
        <f>LEN(G150)</f>
      </c>
      <c r="L150" s="3">
        <f>LEN(H150)</f>
      </c>
      <c r="M150" s="3">
        <f>IF(COUNTIF($G:$G,G150)&gt;1,"DUP","")</f>
      </c>
      <c r="N150" s="3">
        <f>IF(COUNTIF($H:$H,H150)&gt;1,"DUP","")</f>
      </c>
      <c r="O150" s="3">
        <f>IF(LEFT(B150,LEN(C150))=C150,"OK","CHECK")</f>
      </c>
      <c r="P150" s="4" t="inlineStr">
        <is>
          <t xml:space="preserve">Review</t>
        </is>
      </c>
      <c r="Q150" s="4" t="inlineStr">
        <is>
          <t xml:space="preserve"/>
        </is>
      </c>
      <c r="R150" s="5">
        <f>IF(OR(M150="DUP",N150="DUP",O150="CHECK"),"CHECK","")</f>
      </c>
    </row>
    <row r="151">
      <c r="A151" s="2">
        <v>137</v>
      </c>
      <c r="B151" s="2" t="inlineStr">
        <is>
          <t xml:space="preserve">zone.hr_poor_exit.1</t>
        </is>
      </c>
      <c r="C151" s="2" t="inlineStr">
        <is>
          <t xml:space="preserve">zone.hr_poor_exit</t>
        </is>
      </c>
      <c r="D151" s="2" t="inlineStr">
        <is>
          <t xml:space="preserve">zone.hr_poor_exit.1</t>
        </is>
      </c>
      <c r="E151" s="2" t="inlineStr">
        <is>
          <t xml:space="preserve">personal_trainer</t>
        </is>
      </c>
      <c r="F151" s="2" t="inlineStr">
        <is>
          <t xml:space="preserve">core</t>
        </is>
      </c>
      <c r="G151" s="2" t="inlineStr">
        <is>
          <t xml:space="preserve">Heart-rate signal is stable again. Returning to zone coaching.</t>
        </is>
      </c>
      <c r="H151" s="2" t="inlineStr">
        <is>
          <t xml:space="preserve">Pulsen er stabil igjen. Vi går tilbake til sonecoaching.</t>
        </is>
      </c>
      <c r="I151" s="3">
        <f>IF(LEN(TRIM(G151))=0,0,LEN(TRIM(G151))-LEN(SUBSTITUTE(TRIM(G151)," ",""))+1)</f>
      </c>
      <c r="J151" s="3">
        <f>IF(LEN(TRIM(H151))=0,0,LEN(TRIM(H151))-LEN(SUBSTITUTE(TRIM(H151)," ",""))+1)</f>
      </c>
      <c r="K151" s="3">
        <f>LEN(G151)</f>
      </c>
      <c r="L151" s="3">
        <f>LEN(H151)</f>
      </c>
      <c r="M151" s="3">
        <f>IF(COUNTIF($G:$G,G151)&gt;1,"DUP","")</f>
      </c>
      <c r="N151" s="3">
        <f>IF(COUNTIF($H:$H,H151)&gt;1,"DUP","")</f>
      </c>
      <c r="O151" s="3">
        <f>IF(LEFT(B151,LEN(C151))=C151,"OK","CHECK")</f>
      </c>
      <c r="P151" s="4" t="inlineStr">
        <is>
          <t xml:space="preserve">Review</t>
        </is>
      </c>
      <c r="Q151" s="4" t="inlineStr">
        <is>
          <t xml:space="preserve"/>
        </is>
      </c>
      <c r="R151" s="5">
        <f>IF(OR(M151="DUP",N151="DUP",O151="CHECK"),"CHECK","")</f>
      </c>
    </row>
    <row r="152">
      <c r="A152" s="2">
        <v>147</v>
      </c>
      <c r="B152" s="2" t="inlineStr">
        <is>
          <t xml:space="preserve">zone.in_zone.default.1</t>
        </is>
      </c>
      <c r="C152" s="2" t="inlineStr">
        <is>
          <t xml:space="preserve">zone.in_zone</t>
        </is>
      </c>
      <c r="D152" s="2" t="inlineStr">
        <is>
          <t xml:space="preserve">zone.in_zone.default</t>
        </is>
      </c>
      <c r="E152" s="2" t="inlineStr">
        <is>
          <t xml:space="preserve">personal_trainer</t>
        </is>
      </c>
      <c r="F152" s="2" t="inlineStr">
        <is>
          <t xml:space="preserve">core</t>
        </is>
      </c>
      <c r="G152" s="2" t="inlineStr">
        <is>
          <t xml:space="preserve">Nice. Hold this zone.</t>
        </is>
      </c>
      <c r="H152" s="2" t="inlineStr">
        <is>
          <t xml:space="preserve">Der ja. Hold deg i denne sonen.</t>
        </is>
      </c>
      <c r="I152" s="3">
        <f>IF(LEN(TRIM(G152))=0,0,LEN(TRIM(G152))-LEN(SUBSTITUTE(TRIM(G152)," ",""))+1)</f>
      </c>
      <c r="J152" s="3">
        <f>IF(LEN(TRIM(H152))=0,0,LEN(TRIM(H152))-LEN(SUBSTITUTE(TRIM(H152)," ",""))+1)</f>
      </c>
      <c r="K152" s="3">
        <f>LEN(G152)</f>
      </c>
      <c r="L152" s="3">
        <f>LEN(H152)</f>
      </c>
      <c r="M152" s="3">
        <f>IF(COUNTIF($G:$G,G152)&gt;1,"DUP","")</f>
      </c>
      <c r="N152" s="3">
        <f>IF(COUNTIF($H:$H,H152)&gt;1,"DUP","")</f>
      </c>
      <c r="O152" s="3">
        <f>IF(LEFT(B152,LEN(C152))=C152,"OK","CHECK")</f>
      </c>
      <c r="P152" s="4" t="inlineStr">
        <is>
          <t xml:space="preserve">Review</t>
        </is>
      </c>
      <c r="Q152" s="4" t="inlineStr">
        <is>
          <t xml:space="preserve"/>
        </is>
      </c>
      <c r="R152" s="5">
        <f>IF(OR(M152="DUP",N152="DUP",O152="CHECK"),"CHECK","")</f>
      </c>
    </row>
    <row r="153">
      <c r="A153" s="2">
        <v>146</v>
      </c>
      <c r="B153" s="2" t="inlineStr">
        <is>
          <t xml:space="preserve">zone.in_zone.minimal.1</t>
        </is>
      </c>
      <c r="C153" s="2" t="inlineStr">
        <is>
          <t xml:space="preserve">zone.in_zone</t>
        </is>
      </c>
      <c r="D153" s="2" t="inlineStr">
        <is>
          <t xml:space="preserve">zone.in_zone.minimal</t>
        </is>
      </c>
      <c r="E153" s="2" t="inlineStr">
        <is>
          <t xml:space="preserve">personal_trainer</t>
        </is>
      </c>
      <c r="F153" s="2" t="inlineStr">
        <is>
          <t xml:space="preserve">core</t>
        </is>
      </c>
      <c r="G153" s="2" t="inlineStr">
        <is>
          <t xml:space="preserve">Good. Stay here.</t>
        </is>
      </c>
      <c r="H153" s="2" t="inlineStr">
        <is>
          <t xml:space="preserve">Bra. Hold deg her.</t>
        </is>
      </c>
      <c r="I153" s="3">
        <f>IF(LEN(TRIM(G153))=0,0,LEN(TRIM(G153))-LEN(SUBSTITUTE(TRIM(G153)," ",""))+1)</f>
      </c>
      <c r="J153" s="3">
        <f>IF(LEN(TRIM(H153))=0,0,LEN(TRIM(H153))-LEN(SUBSTITUTE(TRIM(H153)," ",""))+1)</f>
      </c>
      <c r="K153" s="3">
        <f>LEN(G153)</f>
      </c>
      <c r="L153" s="3">
        <f>LEN(H153)</f>
      </c>
      <c r="M153" s="3">
        <f>IF(COUNTIF($G:$G,G153)&gt;1,"DUP","")</f>
      </c>
      <c r="N153" s="3">
        <f>IF(COUNTIF($H:$H,H153)&gt;1,"DUP","")</f>
      </c>
      <c r="O153" s="3">
        <f>IF(LEFT(B153,LEN(C153))=C153,"OK","CHECK")</f>
      </c>
      <c r="P153" s="4" t="inlineStr">
        <is>
          <t xml:space="preserve">Review</t>
        </is>
      </c>
      <c r="Q153" s="4" t="inlineStr">
        <is>
          <t xml:space="preserve"/>
        </is>
      </c>
      <c r="R153" s="5">
        <f>IF(OR(M153="DUP",N153="DUP",O153="CHECK"),"CHECK","")</f>
      </c>
    </row>
    <row r="154">
      <c r="A154" s="2">
        <v>134</v>
      </c>
      <c r="B154" s="2" t="inlineStr">
        <is>
          <t xml:space="preserve">zone.main_started.1</t>
        </is>
      </c>
      <c r="C154" s="2" t="inlineStr">
        <is>
          <t xml:space="preserve">zone.main_started</t>
        </is>
      </c>
      <c r="D154" s="2" t="inlineStr">
        <is>
          <t xml:space="preserve">zone.main_started.1</t>
        </is>
      </c>
      <c r="E154" s="2" t="inlineStr">
        <is>
          <t xml:space="preserve">personal_trainer</t>
        </is>
      </c>
      <c r="F154" s="2" t="inlineStr">
        <is>
          <t xml:space="preserve">core</t>
        </is>
      </c>
      <c r="G154" s="2" t="inlineStr">
        <is>
          <t xml:space="preserve">Main set now. Stay controlled.</t>
        </is>
      </c>
      <c r="H154" s="2" t="inlineStr">
        <is>
          <t xml:space="preserve">Hoveddel nå. Hold kontroll.</t>
        </is>
      </c>
      <c r="I154" s="3">
        <f>IF(LEN(TRIM(G154))=0,0,LEN(TRIM(G154))-LEN(SUBSTITUTE(TRIM(G154)," ",""))+1)</f>
      </c>
      <c r="J154" s="3">
        <f>IF(LEN(TRIM(H154))=0,0,LEN(TRIM(H154))-LEN(SUBSTITUTE(TRIM(H154)," ",""))+1)</f>
      </c>
      <c r="K154" s="3">
        <f>LEN(G154)</f>
      </c>
      <c r="L154" s="3">
        <f>LEN(H154)</f>
      </c>
      <c r="M154" s="3">
        <f>IF(COUNTIF($G:$G,G154)&gt;1,"DUP","")</f>
      </c>
      <c r="N154" s="3">
        <f>IF(COUNTIF($H:$H,H154)&gt;1,"DUP","")</f>
      </c>
      <c r="O154" s="3">
        <f>IF(LEFT(B154,LEN(C154))=C154,"OK","CHECK")</f>
      </c>
      <c r="P154" s="4" t="inlineStr">
        <is>
          <t xml:space="preserve">Review</t>
        </is>
      </c>
      <c r="Q154" s="4" t="inlineStr">
        <is>
          <t xml:space="preserve"/>
        </is>
      </c>
      <c r="R154" s="5">
        <f>IF(OR(M154="DUP",N154="DUP",O154="CHECK"),"CHECK","")</f>
      </c>
    </row>
    <row r="155">
      <c r="A155" s="2">
        <v>128</v>
      </c>
      <c r="B155" s="2" t="inlineStr">
        <is>
          <t xml:space="preserve">zone.no_sensors.1</t>
        </is>
      </c>
      <c r="C155" s="2" t="inlineStr">
        <is>
          <t xml:space="preserve">zone.no_sensors</t>
        </is>
      </c>
      <c r="D155" s="2" t="inlineStr">
        <is>
          <t xml:space="preserve">zone.no_sensors.1</t>
        </is>
      </c>
      <c r="E155" s="2" t="inlineStr">
        <is>
          <t xml:space="preserve">personal_trainer</t>
        </is>
      </c>
      <c r="F155" s="2" t="inlineStr">
        <is>
          <t xml:space="preserve">core</t>
        </is>
      </c>
      <c r="G155" s="2" t="inlineStr">
        <is>
          <t xml:space="preserve">No sensors now. Run by feel.</t>
        </is>
      </c>
      <c r="H155" s="2" t="inlineStr">
        <is>
          <t xml:space="preserve">Ingen sensorer nå. Løp på følelse.</t>
        </is>
      </c>
      <c r="I155" s="3">
        <f>IF(LEN(TRIM(G155))=0,0,LEN(TRIM(G155))-LEN(SUBSTITUTE(TRIM(G155)," ",""))+1)</f>
      </c>
      <c r="J155" s="3">
        <f>IF(LEN(TRIM(H155))=0,0,LEN(TRIM(H155))-LEN(SUBSTITUTE(TRIM(H155)," ",""))+1)</f>
      </c>
      <c r="K155" s="3">
        <f>LEN(G155)</f>
      </c>
      <c r="L155" s="3">
        <f>LEN(H155)</f>
      </c>
      <c r="M155" s="3">
        <f>IF(COUNTIF($G:$G,G155)&gt;1,"DUP","")</f>
      </c>
      <c r="N155" s="3">
        <f>IF(COUNTIF($H:$H,H155)&gt;1,"DUP","")</f>
      </c>
      <c r="O155" s="3">
        <f>IF(LEFT(B155,LEN(C155))=C155,"OK","CHECK")</f>
      </c>
      <c r="P155" s="4" t="inlineStr">
        <is>
          <t xml:space="preserve">Review</t>
        </is>
      </c>
      <c r="Q155" s="4" t="inlineStr">
        <is>
          <t xml:space="preserve"/>
        </is>
      </c>
      <c r="R155" s="5">
        <f>IF(OR(M155="DUP",N155="DUP",O155="CHECK"),"CHECK","")</f>
      </c>
    </row>
    <row r="156">
      <c r="A156" s="2">
        <v>153</v>
      </c>
      <c r="B156" s="2" t="inlineStr">
        <is>
          <t xml:space="preserve">zone.pause.detected.1</t>
        </is>
      </c>
      <c r="C156" s="2" t="inlineStr">
        <is>
          <t xml:space="preserve">zone.pause</t>
        </is>
      </c>
      <c r="D156" s="2" t="inlineStr">
        <is>
          <t xml:space="preserve">zone.pause.detected</t>
        </is>
      </c>
      <c r="E156" s="2" t="inlineStr">
        <is>
          <t xml:space="preserve">personal_trainer</t>
        </is>
      </c>
      <c r="F156" s="2" t="inlineStr">
        <is>
          <t xml:space="preserve">core</t>
        </is>
      </c>
      <c r="G156" s="2" t="inlineStr">
        <is>
          <t xml:space="preserve">Looks like you paused. Start easy again when ready.</t>
        </is>
      </c>
      <c r="H156" s="2" t="inlineStr">
        <is>
          <t xml:space="preserve">Du ser ut til å ha stoppet. Start rolig igjen når du er klar.</t>
        </is>
      </c>
      <c r="I156" s="3">
        <f>IF(LEN(TRIM(G156))=0,0,LEN(TRIM(G156))-LEN(SUBSTITUTE(TRIM(G156)," ",""))+1)</f>
      </c>
      <c r="J156" s="3">
        <f>IF(LEN(TRIM(H156))=0,0,LEN(TRIM(H156))-LEN(SUBSTITUTE(TRIM(H156)," ",""))+1)</f>
      </c>
      <c r="K156" s="3">
        <f>LEN(G156)</f>
      </c>
      <c r="L156" s="3">
        <f>LEN(H156)</f>
      </c>
      <c r="M156" s="3">
        <f>IF(COUNTIF($G:$G,G156)&gt;1,"DUP","")</f>
      </c>
      <c r="N156" s="3">
        <f>IF(COUNTIF($H:$H,H156)&gt;1,"DUP","")</f>
      </c>
      <c r="O156" s="3">
        <f>IF(LEFT(B156,LEN(C156))=C156,"OK","CHECK")</f>
      </c>
      <c r="P156" s="4" t="inlineStr">
        <is>
          <t xml:space="preserve">Review</t>
        </is>
      </c>
      <c r="Q156" s="4" t="inlineStr">
        <is>
          <t xml:space="preserve"/>
        </is>
      </c>
      <c r="R156" s="5">
        <f>IF(OR(M156="DUP",N156="DUP",O156="CHECK"),"CHECK","")</f>
      </c>
    </row>
    <row r="157">
      <c r="A157" s="2">
        <v>154</v>
      </c>
      <c r="B157" s="2" t="inlineStr">
        <is>
          <t xml:space="preserve">zone.pause.resumed.1</t>
        </is>
      </c>
      <c r="C157" s="2" t="inlineStr">
        <is>
          <t xml:space="preserve">zone.pause</t>
        </is>
      </c>
      <c r="D157" s="2" t="inlineStr">
        <is>
          <t xml:space="preserve">zone.pause.resumed</t>
        </is>
      </c>
      <c r="E157" s="2" t="inlineStr">
        <is>
          <t xml:space="preserve">personal_trainer</t>
        </is>
      </c>
      <c r="F157" s="2" t="inlineStr">
        <is>
          <t xml:space="preserve">core</t>
        </is>
      </c>
      <c r="G157" s="2" t="inlineStr">
        <is>
          <t xml:space="preserve">Good, you're moving again. Keep it controlled.</t>
        </is>
      </c>
      <c r="H157" s="2" t="inlineStr">
        <is>
          <t xml:space="preserve">Bra, du er i gang igjen. Hold rolig kontroll.</t>
        </is>
      </c>
      <c r="I157" s="3">
        <f>IF(LEN(TRIM(G157))=0,0,LEN(TRIM(G157))-LEN(SUBSTITUTE(TRIM(G157)," ",""))+1)</f>
      </c>
      <c r="J157" s="3">
        <f>IF(LEN(TRIM(H157))=0,0,LEN(TRIM(H157))-LEN(SUBSTITUTE(TRIM(H157)," ",""))+1)</f>
      </c>
      <c r="K157" s="3">
        <f>LEN(G157)</f>
      </c>
      <c r="L157" s="3">
        <f>LEN(H157)</f>
      </c>
      <c r="M157" s="3">
        <f>IF(COUNTIF($G:$G,G157)&gt;1,"DUP","")</f>
      </c>
      <c r="N157" s="3">
        <f>IF(COUNTIF($H:$H,H157)&gt;1,"DUP","")</f>
      </c>
      <c r="O157" s="3">
        <f>IF(LEFT(B157,LEN(C157))=C157,"OK","CHECK")</f>
      </c>
      <c r="P157" s="4" t="inlineStr">
        <is>
          <t xml:space="preserve">Review</t>
        </is>
      </c>
      <c r="Q157" s="4" t="inlineStr">
        <is>
          <t xml:space="preserve"/>
        </is>
      </c>
      <c r="R157" s="5">
        <f>IF(OR(M157="DUP",N157="DUP",O157="CHECK"),"CHECK","")</f>
      </c>
    </row>
    <row r="158">
      <c r="A158" s="2">
        <v>152</v>
      </c>
      <c r="B158" s="2" t="inlineStr">
        <is>
          <t xml:space="preserve">zone.phase.cooldown.1</t>
        </is>
      </c>
      <c r="C158" s="2" t="inlineStr">
        <is>
          <t xml:space="preserve">zone.phase</t>
        </is>
      </c>
      <c r="D158" s="2" t="inlineStr">
        <is>
          <t xml:space="preserve">zone.phase.cooldown</t>
        </is>
      </c>
      <c r="E158" s="2" t="inlineStr">
        <is>
          <t xml:space="preserve">personal_trainer</t>
        </is>
      </c>
      <c r="F158" s="2" t="inlineStr">
        <is>
          <t xml:space="preserve">core</t>
        </is>
      </c>
      <c r="G158" s="2" t="inlineStr">
        <is>
          <t xml:space="preserve">Cooldown now. Bring heart rate down.</t>
        </is>
      </c>
      <c r="H158" s="2" t="inlineStr">
        <is>
          <t xml:space="preserve">Nedjogg nå. Senk pulsen.</t>
        </is>
      </c>
      <c r="I158" s="3">
        <f>IF(LEN(TRIM(G158))=0,0,LEN(TRIM(G158))-LEN(SUBSTITUTE(TRIM(G158)," ",""))+1)</f>
      </c>
      <c r="J158" s="3">
        <f>IF(LEN(TRIM(H158))=0,0,LEN(TRIM(H158))-LEN(SUBSTITUTE(TRIM(H158)," ",""))+1)</f>
      </c>
      <c r="K158" s="3">
        <f>LEN(G158)</f>
      </c>
      <c r="L158" s="3">
        <f>LEN(H158)</f>
      </c>
      <c r="M158" s="3">
        <f>IF(COUNTIF($G:$G,G158)&gt;1,"DUP","")</f>
      </c>
      <c r="N158" s="3">
        <f>IF(COUNTIF($H:$H,H158)&gt;1,"DUP","")</f>
      </c>
      <c r="O158" s="3">
        <f>IF(LEFT(B158,LEN(C158))=C158,"OK","CHECK")</f>
      </c>
      <c r="P158" s="4" t="inlineStr">
        <is>
          <t xml:space="preserve">Review</t>
        </is>
      </c>
      <c r="Q158" s="4" t="inlineStr">
        <is>
          <t xml:space="preserve"/>
        </is>
      </c>
      <c r="R158" s="5">
        <f>IF(OR(M158="DUP",N158="DUP",O158="CHECK"),"CHECK","")</f>
      </c>
    </row>
    <row r="159">
      <c r="A159" s="2">
        <v>150</v>
      </c>
      <c r="B159" s="2" t="inlineStr">
        <is>
          <t xml:space="preserve">zone.phase.rest.1</t>
        </is>
      </c>
      <c r="C159" s="2" t="inlineStr">
        <is>
          <t xml:space="preserve">zone.phase</t>
        </is>
      </c>
      <c r="D159" s="2" t="inlineStr">
        <is>
          <t xml:space="preserve">zone.phase.rest</t>
        </is>
      </c>
      <c r="E159" s="2" t="inlineStr">
        <is>
          <t xml:space="preserve">personal_trainer</t>
        </is>
      </c>
      <c r="F159" s="2" t="inlineStr">
        <is>
          <t xml:space="preserve">core</t>
        </is>
      </c>
      <c r="G159" s="2" t="inlineStr">
        <is>
          <t xml:space="preserve">Recovery block. Easy jog.</t>
        </is>
      </c>
      <c r="H159" s="2" t="inlineStr">
        <is>
          <t xml:space="preserve">Pauseblokk. Rolig jogg.</t>
        </is>
      </c>
      <c r="I159" s="3">
        <f>IF(LEN(TRIM(G159))=0,0,LEN(TRIM(G159))-LEN(SUBSTITUTE(TRIM(G159)," ",""))+1)</f>
      </c>
      <c r="J159" s="3">
        <f>IF(LEN(TRIM(H159))=0,0,LEN(TRIM(H159))-LEN(SUBSTITUTE(TRIM(H159)," ",""))+1)</f>
      </c>
      <c r="K159" s="3">
        <f>LEN(G159)</f>
      </c>
      <c r="L159" s="3">
        <f>LEN(H159)</f>
      </c>
      <c r="M159" s="3">
        <f>IF(COUNTIF($G:$G,G159)&gt;1,"DUP","")</f>
      </c>
      <c r="N159" s="3">
        <f>IF(COUNTIF($H:$H,H159)&gt;1,"DUP","")</f>
      </c>
      <c r="O159" s="3">
        <f>IF(LEFT(B159,LEN(C159))=C159,"OK","CHECK")</f>
      </c>
      <c r="P159" s="4" t="inlineStr">
        <is>
          <t xml:space="preserve">Review</t>
        </is>
      </c>
      <c r="Q159" s="4" t="inlineStr">
        <is>
          <t xml:space="preserve"/>
        </is>
      </c>
      <c r="R159" s="5">
        <f>IF(OR(M159="DUP",N159="DUP",O159="CHECK"),"CHECK","")</f>
      </c>
    </row>
    <row r="160">
      <c r="A160" s="2">
        <v>151</v>
      </c>
      <c r="B160" s="2" t="inlineStr">
        <is>
          <t xml:space="preserve">zone.phase.warmup.1</t>
        </is>
      </c>
      <c r="C160" s="2" t="inlineStr">
        <is>
          <t xml:space="preserve">zone.phase</t>
        </is>
      </c>
      <c r="D160" s="2" t="inlineStr">
        <is>
          <t xml:space="preserve">zone.phase.warmup</t>
        </is>
      </c>
      <c r="E160" s="2" t="inlineStr">
        <is>
          <t xml:space="preserve">personal_trainer</t>
        </is>
      </c>
      <c r="F160" s="2" t="inlineStr">
        <is>
          <t xml:space="preserve">core</t>
        </is>
      </c>
      <c r="G160" s="2" t="inlineStr">
        <is>
          <t xml:space="preserve">Warm-up now. Keep it easy.</t>
        </is>
      </c>
      <c r="H160" s="2" t="inlineStr">
        <is>
          <t xml:space="preserve">Oppvarming nå. Hold det lett.</t>
        </is>
      </c>
      <c r="I160" s="3">
        <f>IF(LEN(TRIM(G160))=0,0,LEN(TRIM(G160))-LEN(SUBSTITUTE(TRIM(G160)," ",""))+1)</f>
      </c>
      <c r="J160" s="3">
        <f>IF(LEN(TRIM(H160))=0,0,LEN(TRIM(H160))-LEN(SUBSTITUTE(TRIM(H160)," ",""))+1)</f>
      </c>
      <c r="K160" s="3">
        <f>LEN(G160)</f>
      </c>
      <c r="L160" s="3">
        <f>LEN(H160)</f>
      </c>
      <c r="M160" s="3">
        <f>IF(COUNTIF($G:$G,G160)&gt;1,"DUP","")</f>
      </c>
      <c r="N160" s="3">
        <f>IF(COUNTIF($H:$H,H160)&gt;1,"DUP","")</f>
      </c>
      <c r="O160" s="3">
        <f>IF(LEFT(B160,LEN(C160))=C160,"OK","CHECK")</f>
      </c>
      <c r="P160" s="4" t="inlineStr">
        <is>
          <t xml:space="preserve">Review</t>
        </is>
      </c>
      <c r="Q160" s="4" t="inlineStr">
        <is>
          <t xml:space="preserve"/>
        </is>
      </c>
      <c r="R160" s="5">
        <f>IF(OR(M160="DUP",N160="DUP",O160="CHECK"),"CHECK","")</f>
      </c>
    </row>
    <row r="161">
      <c r="A161" s="2">
        <v>148</v>
      </c>
      <c r="B161" s="2" t="inlineStr">
        <is>
          <t xml:space="preserve">zone.phase.work.default.1</t>
        </is>
      </c>
      <c r="C161" s="2" t="inlineStr">
        <is>
          <t xml:space="preserve">zone.phase</t>
        </is>
      </c>
      <c r="D161" s="2" t="inlineStr">
        <is>
          <t xml:space="preserve">zone.phase.work</t>
        </is>
      </c>
      <c r="E161" s="2" t="inlineStr">
        <is>
          <t xml:space="preserve">personal_trainer</t>
        </is>
      </c>
      <c r="F161" s="2" t="inlineStr">
        <is>
          <t xml:space="preserve">core</t>
        </is>
      </c>
      <c r="G161" s="2" t="inlineStr">
        <is>
          <t xml:space="preserve">Work block. Controlled hard.</t>
        </is>
      </c>
      <c r="H161" s="2" t="inlineStr">
        <is>
          <t xml:space="preserve">Dragstart. Kontroller hardt.</t>
        </is>
      </c>
      <c r="I161" s="3">
        <f>IF(LEN(TRIM(G161))=0,0,LEN(TRIM(G161))-LEN(SUBSTITUTE(TRIM(G161)," ",""))+1)</f>
      </c>
      <c r="J161" s="3">
        <f>IF(LEN(TRIM(H161))=0,0,LEN(TRIM(H161))-LEN(SUBSTITUTE(TRIM(H161)," ",""))+1)</f>
      </c>
      <c r="K161" s="3">
        <f>LEN(G161)</f>
      </c>
      <c r="L161" s="3">
        <f>LEN(H161)</f>
      </c>
      <c r="M161" s="3">
        <f>IF(COUNTIF($G:$G,G161)&gt;1,"DUP","")</f>
      </c>
      <c r="N161" s="3">
        <f>IF(COUNTIF($H:$H,H161)&gt;1,"DUP","")</f>
      </c>
      <c r="O161" s="3">
        <f>IF(LEFT(B161,LEN(C161))=C161,"OK","CHECK")</f>
      </c>
      <c r="P161" s="4" t="inlineStr">
        <is>
          <t xml:space="preserve">Review</t>
        </is>
      </c>
      <c r="Q161" s="4" t="inlineStr">
        <is>
          <t xml:space="preserve"/>
        </is>
      </c>
      <c r="R161" s="5">
        <f>IF(OR(M161="DUP",N161="DUP",O161="CHECK"),"CHECK","")</f>
      </c>
    </row>
    <row r="162">
      <c r="A162" s="2">
        <v>149</v>
      </c>
      <c r="B162" s="2" t="inlineStr">
        <is>
          <t xml:space="preserve">zone.phase.work.motivational.1</t>
        </is>
      </c>
      <c r="C162" s="2" t="inlineStr">
        <is>
          <t xml:space="preserve">zone.phase</t>
        </is>
      </c>
      <c r="D162" s="2" t="inlineStr">
        <is>
          <t xml:space="preserve">zone.phase.work</t>
        </is>
      </c>
      <c r="E162" s="2" t="inlineStr">
        <is>
          <t xml:space="preserve">personal_trainer</t>
        </is>
      </c>
      <c r="F162" s="2" t="inlineStr">
        <is>
          <t xml:space="preserve">core</t>
        </is>
      </c>
      <c r="G162" s="2" t="inlineStr">
        <is>
          <t xml:space="preserve">New work block. Controlled hard now.</t>
        </is>
      </c>
      <c r="H162" s="2" t="inlineStr">
        <is>
          <t xml:space="preserve">Nytt drag. Sterk kontroll nå.</t>
        </is>
      </c>
      <c r="I162" s="3">
        <f>IF(LEN(TRIM(G162))=0,0,LEN(TRIM(G162))-LEN(SUBSTITUTE(TRIM(G162)," ",""))+1)</f>
      </c>
      <c r="J162" s="3">
        <f>IF(LEN(TRIM(H162))=0,0,LEN(TRIM(H162))-LEN(SUBSTITUTE(TRIM(H162)," ",""))+1)</f>
      </c>
      <c r="K162" s="3">
        <f>LEN(G162)</f>
      </c>
      <c r="L162" s="3">
        <f>LEN(H162)</f>
      </c>
      <c r="M162" s="3">
        <f>IF(COUNTIF($G:$G,G162)&gt;1,"DUP","")</f>
      </c>
      <c r="N162" s="3">
        <f>IF(COUNTIF($H:$H,H162)&gt;1,"DUP","")</f>
      </c>
      <c r="O162" s="3">
        <f>IF(LEFT(B162,LEN(C162))=C162,"OK","CHECK")</f>
      </c>
      <c r="P162" s="4" t="inlineStr">
        <is>
          <t xml:space="preserve">Review</t>
        </is>
      </c>
      <c r="Q162" s="4" t="inlineStr">
        <is>
          <t xml:space="preserve"/>
        </is>
      </c>
      <c r="R162" s="5">
        <f>IF(OR(M162="DUP",N162="DUP",O162="CHECK"),"CHECK","")</f>
      </c>
    </row>
    <row r="163">
      <c r="A163" s="2">
        <v>157</v>
      </c>
      <c r="B163" s="2" t="inlineStr">
        <is>
          <t xml:space="preserve">zone.silence.default.1</t>
        </is>
      </c>
      <c r="C163" s="2" t="inlineStr">
        <is>
          <t xml:space="preserve">zone.silence</t>
        </is>
      </c>
      <c r="D163" s="2" t="inlineStr">
        <is>
          <t xml:space="preserve">zone.silence.default</t>
        </is>
      </c>
      <c r="E163" s="2" t="inlineStr">
        <is>
          <t xml:space="preserve">personal_trainer</t>
        </is>
      </c>
      <c r="F163" s="2" t="inlineStr">
        <is>
          <t xml:space="preserve">core</t>
        </is>
      </c>
      <c r="G163" s="2" t="inlineStr">
        <is>
          <t xml:space="preserve">Hold steady rhythm.</t>
        </is>
      </c>
      <c r="H163" s="2" t="inlineStr">
        <is>
          <t xml:space="preserve">Hold jevn rytme.</t>
        </is>
      </c>
      <c r="I163" s="3">
        <f>IF(LEN(TRIM(G163))=0,0,LEN(TRIM(G163))-LEN(SUBSTITUTE(TRIM(G163)," ",""))+1)</f>
      </c>
      <c r="J163" s="3">
        <f>IF(LEN(TRIM(H163))=0,0,LEN(TRIM(H163))-LEN(SUBSTITUTE(TRIM(H163)," ",""))+1)</f>
      </c>
      <c r="K163" s="3">
        <f>LEN(G163)</f>
      </c>
      <c r="L163" s="3">
        <f>LEN(H163)</f>
      </c>
      <c r="M163" s="3">
        <f>IF(COUNTIF($G:$G,G163)&gt;1,"DUP","")</f>
      </c>
      <c r="N163" s="3">
        <f>IF(COUNTIF($H:$H,H163)&gt;1,"DUP","")</f>
      </c>
      <c r="O163" s="3">
        <f>IF(LEFT(B163,LEN(C163))=C163,"OK","CHECK")</f>
      </c>
      <c r="P163" s="4" t="inlineStr">
        <is>
          <t xml:space="preserve">Review</t>
        </is>
      </c>
      <c r="Q163" s="4" t="inlineStr">
        <is>
          <t xml:space="preserve"/>
        </is>
      </c>
      <c r="R163" s="5">
        <f>IF(OR(M163="DUP",N163="DUP",O163="CHECK"),"CHECK","")</f>
      </c>
    </row>
    <row r="164">
      <c r="A164" s="2">
        <v>156</v>
      </c>
      <c r="B164" s="2" t="inlineStr">
        <is>
          <t xml:space="preserve">zone.silence.rest.1</t>
        </is>
      </c>
      <c r="C164" s="2" t="inlineStr">
        <is>
          <t xml:space="preserve">zone.silence</t>
        </is>
      </c>
      <c r="D164" s="2" t="inlineStr">
        <is>
          <t xml:space="preserve">zone.silence.rest</t>
        </is>
      </c>
      <c r="E164" s="2" t="inlineStr">
        <is>
          <t xml:space="preserve">personal_trainer</t>
        </is>
      </c>
      <c r="F164" s="2" t="inlineStr">
        <is>
          <t xml:space="preserve">core</t>
        </is>
      </c>
      <c r="G164" s="2" t="inlineStr">
        <is>
          <t xml:space="preserve">Stay easy between reps.</t>
        </is>
      </c>
      <c r="H164" s="2" t="inlineStr">
        <is>
          <t xml:space="preserve">Rolig mellom dragene.</t>
        </is>
      </c>
      <c r="I164" s="3">
        <f>IF(LEN(TRIM(G164))=0,0,LEN(TRIM(G164))-LEN(SUBSTITUTE(TRIM(G164)," ",""))+1)</f>
      </c>
      <c r="J164" s="3">
        <f>IF(LEN(TRIM(H164))=0,0,LEN(TRIM(H164))-LEN(SUBSTITUTE(TRIM(H164)," ",""))+1)</f>
      </c>
      <c r="K164" s="3">
        <f>LEN(G164)</f>
      </c>
      <c r="L164" s="3">
        <f>LEN(H164)</f>
      </c>
      <c r="M164" s="3">
        <f>IF(COUNTIF($G:$G,G164)&gt;1,"DUP","")</f>
      </c>
      <c r="N164" s="3">
        <f>IF(COUNTIF($H:$H,H164)&gt;1,"DUP","")</f>
      </c>
      <c r="O164" s="3">
        <f>IF(LEFT(B164,LEN(C164))=C164,"OK","CHECK")</f>
      </c>
      <c r="P164" s="4" t="inlineStr">
        <is>
          <t xml:space="preserve">Review</t>
        </is>
      </c>
      <c r="Q164" s="4" t="inlineStr">
        <is>
          <t xml:space="preserve"/>
        </is>
      </c>
      <c r="R164" s="5">
        <f>IF(OR(M164="DUP",N164="DUP",O164="CHECK"),"CHECK","")</f>
      </c>
    </row>
    <row r="165">
      <c r="A165" s="2">
        <v>155</v>
      </c>
      <c r="B165" s="2" t="inlineStr">
        <is>
          <t xml:space="preserve">zone.silence.work.1</t>
        </is>
      </c>
      <c r="C165" s="2" t="inlineStr">
        <is>
          <t xml:space="preserve">zone.silence</t>
        </is>
      </c>
      <c r="D165" s="2" t="inlineStr">
        <is>
          <t xml:space="preserve">zone.silence.work</t>
        </is>
      </c>
      <c r="E165" s="2" t="inlineStr">
        <is>
          <t xml:space="preserve">personal_trainer</t>
        </is>
      </c>
      <c r="F165" s="2" t="inlineStr">
        <is>
          <t xml:space="preserve">core</t>
        </is>
      </c>
      <c r="G165" s="2" t="inlineStr">
        <is>
          <t xml:space="preserve">Stay controlled. One rep at a time.</t>
        </is>
      </c>
      <c r="H165" s="2" t="inlineStr">
        <is>
          <t xml:space="preserve">Hold kontroll. Ett drag av gangen.</t>
        </is>
      </c>
      <c r="I165" s="3">
        <f>IF(LEN(TRIM(G165))=0,0,LEN(TRIM(G165))-LEN(SUBSTITUTE(TRIM(G165)," ",""))+1)</f>
      </c>
      <c r="J165" s="3">
        <f>IF(LEN(TRIM(H165))=0,0,LEN(TRIM(H165))-LEN(SUBSTITUTE(TRIM(H165)," ",""))+1)</f>
      </c>
      <c r="K165" s="3">
        <f>LEN(G165)</f>
      </c>
      <c r="L165" s="3">
        <f>LEN(H165)</f>
      </c>
      <c r="M165" s="3">
        <f>IF(COUNTIF($G:$G,G165)&gt;1,"DUP","")</f>
      </c>
      <c r="N165" s="3">
        <f>IF(COUNTIF($H:$H,H165)&gt;1,"DUP","")</f>
      </c>
      <c r="O165" s="3">
        <f>IF(LEFT(B165,LEN(C165))=C165,"OK","CHECK")</f>
      </c>
      <c r="P165" s="4" t="inlineStr">
        <is>
          <t xml:space="preserve">Review</t>
        </is>
      </c>
      <c r="Q165" s="4" t="inlineStr">
        <is>
          <t xml:space="preserve"/>
        </is>
      </c>
      <c r="R165" s="5">
        <f>IF(OR(M165="DUP",N165="DUP",O165="CHECK"),"CHECK","")</f>
      </c>
    </row>
    <row r="166">
      <c r="A166" s="2">
        <v>127</v>
      </c>
      <c r="B166" s="2" t="inlineStr">
        <is>
          <t xml:space="preserve">zone.watch_disconnected.1</t>
        </is>
      </c>
      <c r="C166" s="2" t="inlineStr">
        <is>
          <t xml:space="preserve">zone.watch_disconnected</t>
        </is>
      </c>
      <c r="D166" s="2" t="inlineStr">
        <is>
          <t xml:space="preserve">zone.watch_disconnected.1</t>
        </is>
      </c>
      <c r="E166" s="2" t="inlineStr">
        <is>
          <t xml:space="preserve">personal_trainer</t>
        </is>
      </c>
      <c r="F166" s="2" t="inlineStr">
        <is>
          <t xml:space="preserve">core</t>
        </is>
      </c>
      <c r="G166" s="2" t="inlineStr">
        <is>
          <t xml:space="preserve">Watch disconnected. I'll coach using breathing and timing.</t>
        </is>
      </c>
      <c r="H166" s="2" t="inlineStr">
        <is>
          <t xml:space="preserve">Klokken er frakoblet. Jeg coacher videre med pust og timing.</t>
        </is>
      </c>
      <c r="I166" s="3">
        <f>IF(LEN(TRIM(G166))=0,0,LEN(TRIM(G166))-LEN(SUBSTITUTE(TRIM(G166)," ",""))+1)</f>
      </c>
      <c r="J166" s="3">
        <f>IF(LEN(TRIM(H166))=0,0,LEN(TRIM(H166))-LEN(SUBSTITUTE(TRIM(H166)," ",""))+1)</f>
      </c>
      <c r="K166" s="3">
        <f>LEN(G166)</f>
      </c>
      <c r="L166" s="3">
        <f>LEN(H166)</f>
      </c>
      <c r="M166" s="3">
        <f>IF(COUNTIF($G:$G,G166)&gt;1,"DUP","")</f>
      </c>
      <c r="N166" s="3">
        <f>IF(COUNTIF($H:$H,H166)&gt;1,"DUP","")</f>
      </c>
      <c r="O166" s="3">
        <f>IF(LEFT(B166,LEN(C166))=C166,"OK","CHECK")</f>
      </c>
      <c r="P166" s="4" t="inlineStr">
        <is>
          <t xml:space="preserve">Review</t>
        </is>
      </c>
      <c r="Q166" s="4" t="inlineStr">
        <is>
          <t xml:space="preserve"/>
        </is>
      </c>
      <c r="R166" s="5">
        <f>IF(OR(M166="DUP",N166="DUP",O166="CHECK"),"CHECK","")</f>
      </c>
    </row>
    <row r="167">
      <c r="A167" s="2">
        <v>129</v>
      </c>
      <c r="B167" s="2" t="inlineStr">
        <is>
          <t xml:space="preserve">zone.watch_restored.1</t>
        </is>
      </c>
      <c r="C167" s="2" t="inlineStr">
        <is>
          <t xml:space="preserve">zone.watch_restored</t>
        </is>
      </c>
      <c r="D167" s="2" t="inlineStr">
        <is>
          <t xml:space="preserve">zone.watch_restored.1</t>
        </is>
      </c>
      <c r="E167" s="2" t="inlineStr">
        <is>
          <t xml:space="preserve">personal_trainer</t>
        </is>
      </c>
      <c r="F167" s="2" t="inlineStr">
        <is>
          <t xml:space="preserve">core</t>
        </is>
      </c>
      <c r="G167" s="2" t="inlineStr">
        <is>
          <t xml:space="preserve">Watch restored. Zone coaching is back.</t>
        </is>
      </c>
      <c r="H167" s="2" t="inlineStr">
        <is>
          <t xml:space="preserve">Klokken er tilbake. Sonecoaching er aktiv igjen.</t>
        </is>
      </c>
      <c r="I167" s="3">
        <f>IF(LEN(TRIM(G167))=0,0,LEN(TRIM(G167))-LEN(SUBSTITUTE(TRIM(G167)," ",""))+1)</f>
      </c>
      <c r="J167" s="3">
        <f>IF(LEN(TRIM(H167))=0,0,LEN(TRIM(H167))-LEN(SUBSTITUTE(TRIM(H167)," ",""))+1)</f>
      </c>
      <c r="K167" s="3">
        <f>LEN(G167)</f>
      </c>
      <c r="L167" s="3">
        <f>LEN(H167)</f>
      </c>
      <c r="M167" s="3">
        <f>IF(COUNTIF($G:$G,G167)&gt;1,"DUP","")</f>
      </c>
      <c r="N167" s="3">
        <f>IF(COUNTIF($H:$H,H167)&gt;1,"DUP","")</f>
      </c>
      <c r="O167" s="3">
        <f>IF(LEFT(B167,LEN(C167))=C167,"OK","CHECK")</f>
      </c>
      <c r="P167" s="4" t="inlineStr">
        <is>
          <t xml:space="preserve">Review</t>
        </is>
      </c>
      <c r="Q167" s="4" t="inlineStr">
        <is>
          <t xml:space="preserve"/>
        </is>
      </c>
      <c r="R167" s="5">
        <f>IF(OR(M167="DUP",N167="DUP",O167="CHECK"),"CHECK","")</f>
      </c>
    </row>
    <row r="168">
      <c r="A168" s="2">
        <v>135</v>
      </c>
      <c r="B168" s="2" t="inlineStr">
        <is>
          <t xml:space="preserve">zone.workout_finished.1</t>
        </is>
      </c>
      <c r="C168" s="2" t="inlineStr">
        <is>
          <t xml:space="preserve">zone.workout_finished</t>
        </is>
      </c>
      <c r="D168" s="2" t="inlineStr">
        <is>
          <t xml:space="preserve">zone.workout_finished.1</t>
        </is>
      </c>
      <c r="E168" s="2" t="inlineStr">
        <is>
          <t xml:space="preserve">personal_trainer</t>
        </is>
      </c>
      <c r="F168" s="2" t="inlineStr">
        <is>
          <t xml:space="preserve">core</t>
        </is>
      </c>
      <c r="G168" s="2" t="inlineStr">
        <is>
          <t xml:space="preserve">Workout finished. Nice work.</t>
        </is>
      </c>
      <c r="H168" s="2" t="inlineStr">
        <is>
          <t xml:space="preserve">Økten er ferdig. Bra jobbet.</t>
        </is>
      </c>
      <c r="I168" s="3">
        <f>IF(LEN(TRIM(G168))=0,0,LEN(TRIM(G168))-LEN(SUBSTITUTE(TRIM(G168)," ",""))+1)</f>
      </c>
      <c r="J168" s="3">
        <f>IF(LEN(TRIM(H168))=0,0,LEN(TRIM(H168))-LEN(SUBSTITUTE(TRIM(H168)," ",""))+1)</f>
      </c>
      <c r="K168" s="3">
        <f>LEN(G168)</f>
      </c>
      <c r="L168" s="3">
        <f>LEN(H168)</f>
      </c>
      <c r="M168" s="3">
        <f>IF(COUNTIF($G:$G,G168)&gt;1,"DUP","")</f>
      </c>
      <c r="N168" s="3">
        <f>IF(COUNTIF($H:$H,H168)&gt;1,"DUP","")</f>
      </c>
      <c r="O168" s="3">
        <f>IF(LEFT(B168,LEN(C168))=C168,"OK","CHECK")</f>
      </c>
      <c r="P168" s="4" t="inlineStr">
        <is>
          <t xml:space="preserve">Review</t>
        </is>
      </c>
      <c r="Q168" s="4" t="inlineStr">
        <is>
          <t xml:space="preserve"/>
        </is>
      </c>
      <c r="R168" s="5">
        <f>IF(OR(M168="DUP",N168="DUP",O168="CHECK"),"CHECK","")</f>
      </c>
    </row>
  </sheetData>
  <autoFilter ref="A1:R168"/>
  <dataValidations count="1">
    <dataValidation type="list" allowBlank="1" showErrorMessage="1" sqref="P2:P168">
      <formula1>"Review,Keep,Edit,Remove,Needs Translation"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</sheetView>
  </sheetViews>
  <sheetFormatPr defaultRowHeight="20"/>
  <cols>
    <col min="1" max="1" width="40" customWidth="1"/>
    <col min="2" max="2" width="18" customWidth="1"/>
  </cols>
  <sheetData>
    <row r="1" ht="24" customHeight="1">
      <c r="A1" s="1" t="inlineStr">
        <is>
          <t xml:space="preserve">Phrase Catalog QA Summary</t>
        </is>
      </c>
      <c r="B1" s="1" t="inlineStr">
        <is>
          <t xml:space="preserve"/>
        </is>
      </c>
    </row>
    <row r="3">
      <c r="A3" s="2" t="inlineStr">
        <is>
          <t xml:space="preserve">Total phrases</t>
        </is>
      </c>
      <c r="B3" s="3">
        <f>COUNTA(Catalog!B:B)-1</f>
      </c>
    </row>
    <row r="4">
      <c r="A4" s="2" t="inlineStr">
        <is>
          <t xml:space="preserve">Duplicate English phrases</t>
        </is>
      </c>
      <c r="B4" s="3">
        <f>COUNTIF(Catalog!M:M,"DUP")</f>
      </c>
    </row>
    <row r="5">
      <c r="A5" s="2" t="inlineStr">
        <is>
          <t xml:space="preserve">Duplicate Norwegian phrases</t>
        </is>
      </c>
      <c r="B5" s="3">
        <f>COUNTIF(Catalog!N:N,"DUP")</f>
      </c>
    </row>
    <row r="6">
      <c r="A6" s="2" t="inlineStr">
        <is>
          <t xml:space="preserve">Section/id mismatches</t>
        </is>
      </c>
      <c r="B6" s="3">
        <f>COUNTIF(Catalog!O:O,"CHECK")</f>
      </c>
    </row>
    <row r="7">
      <c r="A7" s="2" t="inlineStr">
        <is>
          <t xml:space="preserve">Rows marked action_needed</t>
        </is>
      </c>
      <c r="B7" s="3">
        <f>COUNTIF(Catalog!R:R,"CHECK")</f>
      </c>
    </row>
    <row r="9">
      <c r="A9" s="2" t="inlineStr">
        <is>
          <t xml:space="preserve">Priority core</t>
        </is>
      </c>
      <c r="B9" s="3">
        <f>COUNTIF(Catalog!F:F,"core")</f>
      </c>
    </row>
    <row r="10">
      <c r="A10" s="2" t="inlineStr">
        <is>
          <t xml:space="preserve">Priority extended</t>
        </is>
      </c>
      <c r="B10" s="3">
        <f>COUNTIF(Catalog!F:F,"extended")</f>
      </c>
    </row>
    <row r="12">
      <c r="A12" s="2" t="inlineStr">
        <is>
          <t xml:space="preserve">Review status = Review</t>
        </is>
      </c>
      <c r="B12" s="3">
        <f>COUNTIF(Catalog!P:P,"Review")</f>
      </c>
    </row>
    <row r="13">
      <c r="A13" s="2" t="inlineStr">
        <is>
          <t xml:space="preserve">Review status = Keep</t>
        </is>
      </c>
      <c r="B13" s="3">
        <f>COUNTIF(Catalog!P:P,"Keep")</f>
      </c>
    </row>
    <row r="14">
      <c r="A14" s="2" t="inlineStr">
        <is>
          <t xml:space="preserve">Review status = Edit</t>
        </is>
      </c>
      <c r="B14" s="3">
        <f>COUNTIF(Catalog!P:P,"Edit")</f>
      </c>
    </row>
    <row r="15">
      <c r="A15" s="2" t="inlineStr">
        <is>
          <t xml:space="preserve">Review status = Remove</t>
        </is>
      </c>
      <c r="B15" s="3">
        <f>COUNTIF(Catalog!P:P,"Remove")</f>
      </c>
    </row>
    <row r="16">
      <c r="A16" s="2" t="inlineStr">
        <is>
          <t xml:space="preserve">Review status = Needs Translation</t>
        </is>
      </c>
      <c r="B16" s="3">
        <f>COUNTIF(Catalog!P:P,"Needs Translation")</f>
      </c>
    </row>
    <row r="18">
      <c r="A18" s="2" t="inlineStr">
        <is>
          <t xml:space="preserve">Tip: filter the Catalog sheet by action_needed and review_status.</t>
        </is>
      </c>
      <c r="B18" s="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phrase_catalog_editor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phrase_catalog_editor</dc:creator>
  <cp:lastModifiedBy>phrase_catalog_editor</cp:lastModifiedBy>
  <dcterms:created xsi:type="dcterms:W3CDTF">2026-02-27T19:36:16Z</dcterms:created>
  <dcterms:modified xsi:type="dcterms:W3CDTF">2026-02-27T19:36:16Z</dcterms:modified>
</cp:coreProperties>
</file>